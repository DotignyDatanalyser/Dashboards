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24226"/>
  <mc:AlternateContent xmlns:mc="http://schemas.openxmlformats.org/markup-compatibility/2006">
    <mc:Choice Requires="x15">
      <x15ac:absPath xmlns:x15ac="http://schemas.microsoft.com/office/spreadsheetml/2010/11/ac" url="https://d.docs.live.net/56ff4940fa7995a9/Desktop/Formation Data Analyst - Data Suites/Examens/"/>
    </mc:Choice>
  </mc:AlternateContent>
  <xr:revisionPtr revIDLastSave="1482" documentId="8_{B7579C8C-85E7-4D62-B9A5-2178372C2DA7}" xr6:coauthVersionLast="47" xr6:coauthVersionMax="47" xr10:uidLastSave="{57F9A07B-B9E8-4BE7-9078-FF1887E2D830}"/>
  <bookViews>
    <workbookView xWindow="-120" yWindow="-120" windowWidth="29040" windowHeight="15720" activeTab="3" xr2:uid="{00000000-000D-0000-FFFF-FFFF00000000}"/>
  </bookViews>
  <sheets>
    <sheet name="DATA" sheetId="1" r:id="rId1"/>
    <sheet name="REPORTING" sheetId="3" r:id="rId2"/>
    <sheet name="TCD" sheetId="9" r:id="rId3"/>
    <sheet name="DASHBOARD" sheetId="4" r:id="rId4"/>
    <sheet name="CONCLUSIONS" sheetId="2" r:id="rId5"/>
    <sheet name="QCM" sheetId="5" r:id="rId6"/>
  </sheets>
  <definedNames>
    <definedName name="Segment_Centre_Intérêt">#N/A</definedName>
    <definedName name="Segment_Réseau_Social">#N/A</definedName>
    <definedName name="Segment_Segmentation_du_Public___Âge">#N/A</definedName>
    <definedName name="Segment_Segmentation_du_Public___Sexe">#N/A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0" i="3" l="1"/>
  <c r="D40" i="3"/>
  <c r="C40" i="3"/>
  <c r="E39" i="3"/>
  <c r="D39" i="3"/>
  <c r="C39" i="3"/>
  <c r="E38" i="3"/>
  <c r="D38" i="3"/>
  <c r="C38" i="3"/>
  <c r="E37" i="3"/>
  <c r="D37" i="3"/>
  <c r="C37" i="3"/>
  <c r="E36" i="3"/>
  <c r="D36" i="3"/>
  <c r="C36" i="3"/>
  <c r="F30" i="3"/>
  <c r="E30" i="3"/>
  <c r="D30" i="3"/>
  <c r="C30" i="3"/>
  <c r="F24" i="3"/>
  <c r="E24" i="3"/>
  <c r="D24" i="3"/>
  <c r="C24" i="3"/>
  <c r="F23" i="3"/>
  <c r="E23" i="3"/>
  <c r="D23" i="3"/>
  <c r="C23" i="3"/>
  <c r="F22" i="3"/>
  <c r="E22" i="3"/>
  <c r="D22" i="3"/>
  <c r="C22" i="3"/>
  <c r="F21" i="3"/>
  <c r="E21" i="3"/>
  <c r="D21" i="3"/>
  <c r="C21" i="3"/>
  <c r="F20" i="3"/>
  <c r="E20" i="3"/>
  <c r="D20" i="3"/>
  <c r="C20" i="3"/>
  <c r="D14" i="3"/>
  <c r="C14" i="3"/>
  <c r="D13" i="3"/>
  <c r="C13" i="3"/>
  <c r="D12" i="3"/>
  <c r="C12" i="3"/>
  <c r="C6" i="3"/>
  <c r="C5" i="3"/>
  <c r="C4" i="3"/>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 r="G21" i="3" l="1"/>
  <c r="E12" i="3"/>
  <c r="F40" i="3"/>
  <c r="G23" i="3"/>
  <c r="F39" i="3"/>
  <c r="F36" i="3"/>
  <c r="E13" i="3"/>
  <c r="F37" i="3"/>
  <c r="E14" i="3"/>
  <c r="F38" i="3"/>
  <c r="G24" i="3"/>
  <c r="G22" i="3"/>
  <c r="G20" i="3"/>
</calcChain>
</file>

<file path=xl/sharedStrings.xml><?xml version="1.0" encoding="utf-8"?>
<sst xmlns="http://schemas.openxmlformats.org/spreadsheetml/2006/main" count="579" uniqueCount="102">
  <si>
    <t>ID Campagne</t>
  </si>
  <si>
    <t>Réseau Social</t>
  </si>
  <si>
    <t>Date de Début</t>
  </si>
  <si>
    <t>Date de Fin</t>
  </si>
  <si>
    <t>Budget de la Campagne (€)</t>
  </si>
  <si>
    <t>Nombre de Vues</t>
  </si>
  <si>
    <t>Nombre de Clics</t>
  </si>
  <si>
    <t>Taux de Conversion (%)</t>
  </si>
  <si>
    <t>Ventes Générées (€)</t>
  </si>
  <si>
    <t>Segmentation du Public - Âge</t>
  </si>
  <si>
    <t>Segmentation du Public - Sexe</t>
  </si>
  <si>
    <t>Facebook</t>
  </si>
  <si>
    <t>Twitter</t>
  </si>
  <si>
    <t>Instagram</t>
  </si>
  <si>
    <t>18-24</t>
  </si>
  <si>
    <t>25-34</t>
  </si>
  <si>
    <t>55+</t>
  </si>
  <si>
    <t>45-54</t>
  </si>
  <si>
    <t>35-44</t>
  </si>
  <si>
    <t>Homme</t>
  </si>
  <si>
    <t>Femme</t>
  </si>
  <si>
    <t>Beauté</t>
  </si>
  <si>
    <t>Santé</t>
  </si>
  <si>
    <t>Lifestyle</t>
  </si>
  <si>
    <t>Fitness</t>
  </si>
  <si>
    <t>Mode</t>
  </si>
  <si>
    <t>Centre Intérêt</t>
  </si>
  <si>
    <t>A) L'étude de techniques mathématiques avancées</t>
  </si>
  <si>
    <t>B) L'art de raconter des histoires avec des données</t>
  </si>
  <si>
    <t>C) L'analyse de grandes quantités de données pour en tirer des insights</t>
  </si>
  <si>
    <t>D) La programmation de logiciels pour le traitement de données</t>
  </si>
  <si>
    <t>A) Réduire les coûts de stockage des données</t>
  </si>
  <si>
    <t>B) Prédire des tendances et comportements futurs</t>
  </si>
  <si>
    <t>C) Améliorer la qualité graphique des présentations de données</t>
  </si>
  <si>
    <t>D) Augmenter la vitesse de calcul des ordinateurs</t>
  </si>
  <si>
    <t>Question 1 : Quelle affirmation décrit le mieux la science des données ?</t>
  </si>
  <si>
    <t>Question 2  : Quel est le principal avantage de l'utilisation de modèles prédictifs en science des données ?</t>
  </si>
  <si>
    <t>A) La valeur centrale d’un ensemble de données.</t>
  </si>
  <si>
    <t>B) La somme de toutes les valeurs divisée par le nombre de valeurs.</t>
  </si>
  <si>
    <t>C) La valeur qui apparaît le plus souvent</t>
  </si>
  <si>
    <t>Question 3 : Quelle définition correspond le mieux à la moyenne ?</t>
  </si>
  <si>
    <t>A) La corrélation prouve qu’un événement cause un autre.</t>
  </si>
  <si>
    <t>B) La causalité implique une relation de cause à effet, tandis que la corrélation indique simplement une relation entre deux variables.</t>
  </si>
  <si>
    <t>C) Corrélation et causalité sont synonymes.</t>
  </si>
  <si>
    <t>Question 4 : Quelle est la principale différence entre corrélation et causalité ?</t>
  </si>
  <si>
    <t>A) Plus il y a de glaces vendues, plus il y a de noyades, donc les glaces causent les noyades.</t>
  </si>
  <si>
    <t>B) Plus on étudie, meilleures sont les notes.</t>
  </si>
  <si>
    <t>C) Moins on fait de sport, plus on prend du poids</t>
  </si>
  <si>
    <t>Question 5 : Quelle phrase illustre une erreur de confusion entre corrélation et causalité ?</t>
  </si>
  <si>
    <t>A) Les données structurées sont organisées en tableaux, les non structurées incluent des images, vidéos, et textes libres</t>
  </si>
  <si>
    <t>B) Les données non structurées sont toujours numériques</t>
  </si>
  <si>
    <t>C) Les données structurées ne peuvent pas être analysées</t>
  </si>
  <si>
    <t>Question 6 : Quelle affirmation illustre la différence entre données structurées et non structurées ?</t>
  </si>
  <si>
    <t>A) Collecte</t>
  </si>
  <si>
    <t>B) Exploration et visualisation</t>
  </si>
  <si>
    <t>C) Prise de décision</t>
  </si>
  <si>
    <t>Question 7 : Quelle étape du parcours des données consiste à détecter des tendances à l’aide d’outils de visualisation ?</t>
  </si>
  <si>
    <t>A) Data Analyst</t>
  </si>
  <si>
    <t>B) Data Engineer</t>
  </si>
  <si>
    <t>C) Data Scientist</t>
  </si>
  <si>
    <t>Question 8 : Quel métier se concentre principalement sur la création d’infrastructures de données ?</t>
  </si>
  <si>
    <t>A) Moyenne</t>
  </si>
  <si>
    <t>B) Médiane</t>
  </si>
  <si>
    <t>C) Mode</t>
  </si>
  <si>
    <t>Question 9 : Quelle notion décrit la valeur centrale d’un ensemble de données ordonnées ?</t>
  </si>
  <si>
    <t>A) Pour maximiser la collecte de données</t>
  </si>
  <si>
    <t>B) Pour éviter des conséquences néfastes pour les clients et la société</t>
  </si>
  <si>
    <t>C) Pour contourner les lois sur la vie privée</t>
  </si>
  <si>
    <t>Question 10 : Pourquoi l’éthique des données est-elle essentielle ?</t>
  </si>
  <si>
    <t>ROI</t>
  </si>
  <si>
    <t>ROI (%)</t>
  </si>
  <si>
    <t>Étiquettes de lignes</t>
  </si>
  <si>
    <t>Total général</t>
  </si>
  <si>
    <t>Nombre de Campagne</t>
  </si>
  <si>
    <t>Nombre Campagnes par Réseau</t>
  </si>
  <si>
    <t>Budget investi</t>
  </si>
  <si>
    <t>Total des ventes générées</t>
  </si>
  <si>
    <t>Différence entre ventes et budget</t>
  </si>
  <si>
    <t>Budget et Ventes par Réseau</t>
  </si>
  <si>
    <t>Performances par Âge</t>
  </si>
  <si>
    <t>Tranche d'âge</t>
  </si>
  <si>
    <t>Nombre total de campagne</t>
  </si>
  <si>
    <t>Total des vues</t>
  </si>
  <si>
    <t>Taux de conversion moyen</t>
  </si>
  <si>
    <t>Recherche Campagne</t>
  </si>
  <si>
    <t>Date de début</t>
  </si>
  <si>
    <t>Budget</t>
  </si>
  <si>
    <t>Entrer ID Campagne :</t>
  </si>
  <si>
    <t>Performances par Intérêt</t>
  </si>
  <si>
    <t>Centre d'Intérêt</t>
  </si>
  <si>
    <t>Nombre total de campagnes</t>
  </si>
  <si>
    <t>ROI Moyen</t>
  </si>
  <si>
    <t>Nombre de ID Campagne</t>
  </si>
  <si>
    <t>Somme de Ventes Générées (€)</t>
  </si>
  <si>
    <t>Moyenne de ROI (%)</t>
  </si>
  <si>
    <t>Total des Vues</t>
  </si>
  <si>
    <t>Total des Ventes Générées (€)</t>
  </si>
  <si>
    <t xml:space="preserve"> ROI Moyen (%)</t>
  </si>
  <si>
    <t>Sexe et Tranche d'âge</t>
  </si>
  <si>
    <t>Performances Sexe &amp; Âge</t>
  </si>
  <si>
    <t>Somme de Budget de la Campagne (€)</t>
  </si>
  <si>
    <t>Moyenne de Taux de Conversion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</si>
</sst>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40C]"/>
    <numFmt numFmtId="165" formatCode="d/m/yy;@"/>
    <numFmt numFmtId="166" formatCode="dd/mm/yy;@"/>
  </numFmts>
  <fonts count="5"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b/>
      <u/>
      <sz val="14"/>
      <color theme="0"/>
      <name val="Calibri"/>
      <family val="2"/>
      <scheme val="minor"/>
    </font>
  </fonts>
  <fills count="5">
    <fill>
      <patternFill patternType="none"/>
    </fill>
    <fill>
      <patternFill patternType="gray125"/>
    </fill>
    <fill>
      <patternFill patternType="solid">
        <fgColor rgb="FF002060"/>
        <bgColor indexed="64"/>
      </patternFill>
    </fill>
    <fill>
      <patternFill patternType="solid">
        <fgColor theme="1"/>
        <bgColor indexed="64"/>
      </patternFill>
    </fill>
    <fill>
      <patternFill patternType="solid">
        <fgColor rgb="FF92D050"/>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top style="thin">
        <color auto="1"/>
      </top>
      <bottom style="thin">
        <color auto="1"/>
      </bottom>
      <diagonal/>
    </border>
    <border>
      <left/>
      <right style="thin">
        <color auto="1"/>
      </right>
      <top/>
      <bottom/>
      <diagonal/>
    </border>
    <border>
      <left style="thin">
        <color indexed="64"/>
      </left>
      <right style="thin">
        <color indexed="64"/>
      </right>
      <top/>
      <bottom style="thin">
        <color indexed="64"/>
      </bottom>
      <diagonal/>
    </border>
    <border>
      <left style="thin">
        <color auto="1"/>
      </left>
      <right style="thin">
        <color auto="1"/>
      </right>
      <top style="thin">
        <color auto="1"/>
      </top>
      <bottom/>
      <diagonal/>
    </border>
    <border>
      <left/>
      <right/>
      <top style="medium">
        <color indexed="64"/>
      </top>
      <bottom style="medium">
        <color indexed="64"/>
      </bottom>
      <diagonal/>
    </border>
  </borders>
  <cellStyleXfs count="2">
    <xf numFmtId="0" fontId="0" fillId="0" borderId="0"/>
    <xf numFmtId="9" fontId="2" fillId="0" borderId="0" applyFont="0" applyFill="0" applyBorder="0" applyAlignment="0" applyProtection="0"/>
  </cellStyleXfs>
  <cellXfs count="54">
    <xf numFmtId="0" fontId="0" fillId="0" borderId="0" xfId="0"/>
    <xf numFmtId="10" fontId="0" fillId="0" borderId="0" xfId="1" applyNumberFormat="1" applyFont="1"/>
    <xf numFmtId="0" fontId="0" fillId="0" borderId="0" xfId="0">
      <extLst>
        <ext xmlns:xfpb="http://schemas.microsoft.com/office/spreadsheetml/2022/featurepropertybag" uri="{C7286773-470A-42A8-94C5-96B5CB345126}">
          <xfpb:xfComplement i="0"/>
        </ext>
      </extLst>
    </xf>
    <xf numFmtId="0" fontId="1" fillId="0" borderId="0" xfId="0" applyFont="1"/>
    <xf numFmtId="0" fontId="0" fillId="0" borderId="0" xfId="0" applyAlignment="1">
      <alignment horizontal="left" vertical="center" indent="1"/>
    </xf>
    <xf numFmtId="14"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0" borderId="2" xfId="0" applyBorder="1" applyAlignment="1">
      <alignment horizontal="center" vertical="center"/>
    </xf>
    <xf numFmtId="0" fontId="0" fillId="0" borderId="3" xfId="0" applyBorder="1" applyAlignment="1">
      <alignment horizontal="center" vertical="center"/>
    </xf>
    <xf numFmtId="0" fontId="0" fillId="0" borderId="0" xfId="0" applyAlignment="1">
      <alignment wrapText="1"/>
    </xf>
    <xf numFmtId="164" fontId="0" fillId="0" borderId="0" xfId="0" applyNumberFormat="1"/>
    <xf numFmtId="164" fontId="0" fillId="0" borderId="8" xfId="0" applyNumberFormat="1" applyBorder="1" applyAlignment="1">
      <alignment horizontal="center"/>
    </xf>
    <xf numFmtId="164" fontId="0" fillId="0" borderId="8" xfId="0" applyNumberFormat="1" applyBorder="1" applyAlignment="1">
      <alignment horizontal="center" vertical="center"/>
    </xf>
    <xf numFmtId="164" fontId="0" fillId="0" borderId="3" xfId="0" applyNumberFormat="1" applyBorder="1" applyAlignment="1">
      <alignment horizontal="center" vertical="center"/>
    </xf>
    <xf numFmtId="1" fontId="0" fillId="0" borderId="8" xfId="0" applyNumberFormat="1" applyBorder="1" applyAlignment="1">
      <alignment horizontal="center" vertical="center"/>
    </xf>
    <xf numFmtId="3" fontId="0" fillId="0" borderId="8" xfId="0" applyNumberFormat="1" applyBorder="1" applyAlignment="1">
      <alignment horizontal="center" vertical="center"/>
    </xf>
    <xf numFmtId="9" fontId="0" fillId="0" borderId="8" xfId="0" applyNumberFormat="1" applyBorder="1" applyAlignment="1">
      <alignment horizontal="center" vertical="center"/>
    </xf>
    <xf numFmtId="165" fontId="0" fillId="0" borderId="0" xfId="0" applyNumberFormat="1"/>
    <xf numFmtId="166" fontId="0" fillId="0" borderId="2" xfId="0" applyNumberFormat="1" applyBorder="1" applyAlignment="1">
      <alignment horizontal="center" vertical="center"/>
    </xf>
    <xf numFmtId="0" fontId="0" fillId="0" borderId="10" xfId="0" applyBorder="1" applyAlignment="1">
      <alignment horizontal="center"/>
    </xf>
    <xf numFmtId="0" fontId="1" fillId="4" borderId="1" xfId="0" applyFont="1" applyFill="1" applyBorder="1" applyAlignment="1">
      <alignment horizont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11" xfId="0" applyFont="1" applyFill="1" applyBorder="1" applyAlignment="1">
      <alignment horizontal="center" vertical="center" wrapText="1"/>
    </xf>
    <xf numFmtId="0" fontId="0" fillId="0" borderId="8" xfId="0" applyBorder="1" applyAlignment="1">
      <alignment horizontal="center" vertical="center"/>
    </xf>
    <xf numFmtId="0" fontId="1" fillId="0" borderId="0" xfId="0" applyFont="1" applyAlignment="1">
      <alignment horizontal="center" vertical="center" wrapText="1"/>
    </xf>
    <xf numFmtId="0" fontId="1" fillId="0" borderId="12" xfId="0" applyFont="1" applyBorder="1" applyAlignment="1">
      <alignment horizontal="center" vertical="center" wrapText="1"/>
    </xf>
    <xf numFmtId="0" fontId="1" fillId="0" borderId="6" xfId="0" applyFont="1" applyBorder="1" applyAlignment="1">
      <alignment horizontal="center" vertical="center" wrapText="1"/>
    </xf>
    <xf numFmtId="0" fontId="1" fillId="0" borderId="4" xfId="0" pivotButton="1" applyFont="1" applyBorder="1" applyAlignment="1">
      <alignment horizontal="center" vertical="center" wrapText="1"/>
    </xf>
    <xf numFmtId="0" fontId="0" fillId="0" borderId="1" xfId="0" applyBorder="1" applyAlignment="1">
      <alignment horizontal="left"/>
    </xf>
    <xf numFmtId="10" fontId="0" fillId="0" borderId="3" xfId="0" applyNumberFormat="1" applyBorder="1" applyAlignment="1">
      <alignment horizontal="center" vertical="center"/>
    </xf>
    <xf numFmtId="10" fontId="0" fillId="0" borderId="3" xfId="0" applyNumberFormat="1" applyBorder="1" applyAlignment="1">
      <alignment horizontal="center"/>
    </xf>
    <xf numFmtId="164" fontId="0" fillId="0" borderId="1" xfId="0" applyNumberFormat="1" applyBorder="1" applyAlignment="1">
      <alignment horizontal="center"/>
    </xf>
    <xf numFmtId="10" fontId="0" fillId="0" borderId="1" xfId="0" applyNumberFormat="1" applyBorder="1" applyAlignment="1">
      <alignment horizontal="center"/>
    </xf>
    <xf numFmtId="164" fontId="0" fillId="0" borderId="2" xfId="0" applyNumberFormat="1" applyBorder="1" applyAlignment="1">
      <alignment horizontal="center"/>
    </xf>
    <xf numFmtId="9" fontId="0" fillId="0" borderId="3" xfId="0" applyNumberFormat="1" applyBorder="1" applyAlignment="1">
      <alignment horizontal="center"/>
    </xf>
    <xf numFmtId="0" fontId="1" fillId="0" borderId="5" xfId="0" applyFont="1" applyBorder="1" applyAlignment="1">
      <alignment horizontal="center" vertical="center" wrapText="1"/>
    </xf>
    <xf numFmtId="0" fontId="4" fillId="3" borderId="7" xfId="0" applyFont="1" applyFill="1" applyBorder="1" applyAlignment="1">
      <alignment horizontal="center"/>
    </xf>
    <xf numFmtId="0" fontId="4" fillId="3" borderId="0" xfId="0" applyFont="1" applyFill="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3" fillId="2" borderId="10" xfId="0" applyFont="1" applyFill="1" applyBorder="1" applyAlignment="1">
      <alignment horizontal="center" vertical="top"/>
    </xf>
    <xf numFmtId="165" fontId="3" fillId="2" borderId="10" xfId="0" applyNumberFormat="1" applyFont="1" applyFill="1" applyBorder="1" applyAlignment="1">
      <alignment horizontal="center" vertical="top"/>
    </xf>
    <xf numFmtId="14" fontId="3" fillId="2" borderId="10" xfId="0" applyNumberFormat="1" applyFont="1" applyFill="1" applyBorder="1" applyAlignment="1">
      <alignment horizontal="center" vertical="top"/>
    </xf>
    <xf numFmtId="164" fontId="3" fillId="2" borderId="10" xfId="0" applyNumberFormat="1" applyFont="1" applyFill="1" applyBorder="1" applyAlignment="1">
      <alignment horizontal="center" vertical="top"/>
    </xf>
    <xf numFmtId="10" fontId="3" fillId="2" borderId="10" xfId="1" applyNumberFormat="1" applyFont="1" applyFill="1" applyBorder="1" applyAlignment="1">
      <alignment horizontal="center" vertical="top"/>
    </xf>
    <xf numFmtId="10" fontId="3" fillId="2" borderId="10" xfId="0" applyNumberFormat="1" applyFont="1" applyFill="1" applyBorder="1" applyAlignment="1">
      <alignment horizontal="center" vertical="top"/>
    </xf>
    <xf numFmtId="0" fontId="0" fillId="0" borderId="0" xfId="0" applyNumberFormat="1"/>
    <xf numFmtId="0" fontId="0" fillId="0" borderId="2" xfId="0" applyNumberFormat="1" applyBorder="1" applyAlignment="1">
      <alignment horizontal="center"/>
    </xf>
    <xf numFmtId="0" fontId="0" fillId="0" borderId="8" xfId="0" applyNumberFormat="1" applyBorder="1" applyAlignment="1">
      <alignment horizontal="center"/>
    </xf>
  </cellXfs>
  <cellStyles count="2">
    <cellStyle name="Normal" xfId="0" builtinId="0"/>
    <cellStyle name="Pourcentage" xfId="1" builtinId="5"/>
  </cellStyles>
  <dxfs count="752">
    <dxf>
      <numFmt numFmtId="4" formatCode="#,##0.00"/>
    </dxf>
    <dxf>
      <numFmt numFmtId="14" formatCode="0.00%"/>
    </dxf>
    <dxf>
      <numFmt numFmtId="14" formatCode="0.00%"/>
    </dxf>
    <dxf>
      <alignment horizontal="center"/>
    </dxf>
    <dxf>
      <alignment vertical="center"/>
    </dxf>
    <dxf>
      <alignment horizontal="center"/>
    </dxf>
    <dxf>
      <alignment wrapText="1"/>
    </dxf>
    <dxf>
      <font>
        <b/>
      </fon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alignment horizontal="center"/>
    </dxf>
    <dxf>
      <alignment vertical="center"/>
    </dxf>
    <dxf>
      <alignment horizontal="center"/>
    </dxf>
    <dxf>
      <alignment wrapText="1"/>
    </dxf>
    <dxf>
      <font>
        <b/>
      </fon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alignment horizontal="center"/>
    </dxf>
    <dxf>
      <alignment vertical="center"/>
    </dxf>
    <dxf>
      <alignment horizontal="center"/>
    </dxf>
    <dxf>
      <alignment wrapText="1"/>
    </dxf>
    <dxf>
      <font>
        <b/>
      </fon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alignment wrapText="1"/>
    </dxf>
    <dxf>
      <alignment vertical="center"/>
    </dxf>
    <dxf>
      <alignment horizontal="center"/>
    </dxf>
    <dxf>
      <alignment horizontal="center"/>
    </dxf>
    <dxf>
      <alignment vertical="center"/>
    </dxf>
    <dxf>
      <alignment horizontal="center"/>
    </dxf>
    <dxf>
      <alignment wrapText="1"/>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border>
        <vertical/>
      </border>
    </dxf>
    <dxf>
      <font>
        <b/>
      </font>
      <alignment horizontal="center" vertical="center" wrapText="1"/>
    </dxf>
    <dxf>
      <alignment wrapText="1"/>
    </dxf>
    <dxf>
      <alignment vertical="center"/>
    </dxf>
    <dxf>
      <alignment horizontal="center"/>
    </dxf>
    <dxf>
      <alignment horizontal="center"/>
    </dxf>
    <dxf>
      <alignment vertical="center"/>
    </dxf>
    <dxf>
      <alignment horizontal="center"/>
    </dxf>
    <dxf>
      <alignment wrapText="1"/>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numFmt numFmtId="4" formatCode="#,##0.00"/>
    </dxf>
    <dxf>
      <numFmt numFmtId="164" formatCode="#,##0\ [$€-40C]"/>
    </dxf>
    <dxf>
      <numFmt numFmtId="4" formatCode="#,##0.00"/>
    </dxf>
    <dxf>
      <numFmt numFmtId="14" formatCode="0.00%"/>
    </dxf>
    <dxf>
      <numFmt numFmtId="14" formatCode="0.00%"/>
    </dxf>
    <dxf>
      <alignment horizontal="center"/>
    </dxf>
    <dxf>
      <alignment vertical="center"/>
    </dxf>
    <dxf>
      <alignment horizontal="center"/>
    </dxf>
    <dxf>
      <alignment wrapText="1"/>
    </dxf>
    <dxf>
      <font>
        <b/>
      </fon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alignment horizontal="center"/>
    </dxf>
    <dxf>
      <alignment vertical="center"/>
    </dxf>
    <dxf>
      <alignment horizontal="center"/>
    </dxf>
    <dxf>
      <alignment wrapText="1"/>
    </dxf>
    <dxf>
      <font>
        <b/>
      </fon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alignment horizontal="center"/>
    </dxf>
    <dxf>
      <alignment vertical="center"/>
    </dxf>
    <dxf>
      <alignment horizontal="center"/>
    </dxf>
    <dxf>
      <alignment wrapText="1"/>
    </dxf>
    <dxf>
      <font>
        <b/>
      </fon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alignment wrapText="1"/>
    </dxf>
    <dxf>
      <alignment vertical="center"/>
    </dxf>
    <dxf>
      <alignment horizontal="center"/>
    </dxf>
    <dxf>
      <alignment horizontal="center"/>
    </dxf>
    <dxf>
      <alignment vertical="center"/>
    </dxf>
    <dxf>
      <alignment horizontal="center"/>
    </dxf>
    <dxf>
      <alignment wrapText="1"/>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border>
        <vertical/>
      </border>
    </dxf>
    <dxf>
      <font>
        <b/>
      </font>
      <alignment horizontal="center" vertical="center" wrapText="1"/>
    </dxf>
    <dxf>
      <alignment wrapText="1"/>
    </dxf>
    <dxf>
      <alignment vertical="center"/>
    </dxf>
    <dxf>
      <alignment horizontal="center"/>
    </dxf>
    <dxf>
      <alignment horizontal="center"/>
    </dxf>
    <dxf>
      <alignment vertical="center"/>
    </dxf>
    <dxf>
      <alignment horizontal="center"/>
    </dxf>
    <dxf>
      <alignment wrapText="1"/>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numFmt numFmtId="4" formatCode="#,##0.00"/>
    </dxf>
    <dxf>
      <numFmt numFmtId="164" formatCode="#,##0\ [$€-40C]"/>
    </dxf>
    <dxf>
      <numFmt numFmtId="4" formatCode="#,##0.00"/>
    </dxf>
    <dxf>
      <numFmt numFmtId="14" formatCode="0.00%"/>
    </dxf>
    <dxf>
      <numFmt numFmtId="14" formatCode="0.00%"/>
    </dxf>
    <dxf>
      <alignment horizontal="center"/>
    </dxf>
    <dxf>
      <alignment vertical="center"/>
    </dxf>
    <dxf>
      <alignment horizontal="center"/>
    </dxf>
    <dxf>
      <alignment wrapText="1"/>
    </dxf>
    <dxf>
      <font>
        <b/>
      </fon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alignment horizontal="center"/>
    </dxf>
    <dxf>
      <alignment vertical="center"/>
    </dxf>
    <dxf>
      <alignment horizontal="center"/>
    </dxf>
    <dxf>
      <alignment wrapText="1"/>
    </dxf>
    <dxf>
      <font>
        <b/>
      </fon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alignment horizontal="center"/>
    </dxf>
    <dxf>
      <alignment vertical="center"/>
    </dxf>
    <dxf>
      <alignment horizontal="center"/>
    </dxf>
    <dxf>
      <alignment wrapText="1"/>
    </dxf>
    <dxf>
      <font>
        <b/>
      </fon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alignment wrapText="1"/>
    </dxf>
    <dxf>
      <alignment vertical="center"/>
    </dxf>
    <dxf>
      <alignment horizontal="center"/>
    </dxf>
    <dxf>
      <alignment horizontal="center"/>
    </dxf>
    <dxf>
      <alignment vertical="center"/>
    </dxf>
    <dxf>
      <alignment horizontal="center"/>
    </dxf>
    <dxf>
      <alignment wrapText="1"/>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border>
        <vertical/>
      </border>
    </dxf>
    <dxf>
      <font>
        <b/>
      </font>
      <alignment horizontal="center" vertical="center" wrapText="1"/>
    </dxf>
    <dxf>
      <alignment wrapText="1"/>
    </dxf>
    <dxf>
      <alignment vertical="center"/>
    </dxf>
    <dxf>
      <alignment horizontal="center"/>
    </dxf>
    <dxf>
      <alignment horizontal="center"/>
    </dxf>
    <dxf>
      <alignment vertical="center"/>
    </dxf>
    <dxf>
      <alignment horizontal="center"/>
    </dxf>
    <dxf>
      <alignment wrapText="1"/>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numFmt numFmtId="4" formatCode="#,##0.00"/>
    </dxf>
    <dxf>
      <numFmt numFmtId="164" formatCode="#,##0\ [$€-40C]"/>
    </dxf>
    <dxf>
      <numFmt numFmtId="4" formatCode="#,##0.00"/>
    </dxf>
    <dxf>
      <numFmt numFmtId="14" formatCode="0.00%"/>
    </dxf>
    <dxf>
      <numFmt numFmtId="14" formatCode="0.00%"/>
    </dxf>
    <dxf>
      <alignment horizontal="center"/>
    </dxf>
    <dxf>
      <alignment vertical="center"/>
    </dxf>
    <dxf>
      <alignment horizontal="center"/>
    </dxf>
    <dxf>
      <alignment wrapText="1"/>
    </dxf>
    <dxf>
      <font>
        <b/>
      </fon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alignment horizontal="center"/>
    </dxf>
    <dxf>
      <alignment vertical="center"/>
    </dxf>
    <dxf>
      <alignment horizontal="center"/>
    </dxf>
    <dxf>
      <alignment wrapText="1"/>
    </dxf>
    <dxf>
      <font>
        <b/>
      </fon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alignment horizontal="center"/>
    </dxf>
    <dxf>
      <alignment vertical="center"/>
    </dxf>
    <dxf>
      <alignment horizontal="center"/>
    </dxf>
    <dxf>
      <alignment wrapText="1"/>
    </dxf>
    <dxf>
      <font>
        <b/>
      </fon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alignment wrapText="1"/>
    </dxf>
    <dxf>
      <alignment vertical="center"/>
    </dxf>
    <dxf>
      <alignment horizontal="center"/>
    </dxf>
    <dxf>
      <alignment horizontal="center"/>
    </dxf>
    <dxf>
      <alignment vertical="center"/>
    </dxf>
    <dxf>
      <alignment horizontal="center"/>
    </dxf>
    <dxf>
      <alignment wrapText="1"/>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border>
        <vertical/>
      </border>
    </dxf>
    <dxf>
      <font>
        <b/>
      </font>
      <alignment horizontal="center" vertical="center" wrapText="1"/>
    </dxf>
    <dxf>
      <alignment wrapText="1"/>
    </dxf>
    <dxf>
      <alignment vertical="center"/>
    </dxf>
    <dxf>
      <alignment horizontal="center"/>
    </dxf>
    <dxf>
      <alignment horizontal="center"/>
    </dxf>
    <dxf>
      <alignment vertical="center"/>
    </dxf>
    <dxf>
      <alignment horizontal="center"/>
    </dxf>
    <dxf>
      <alignment wrapText="1"/>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numFmt numFmtId="4" formatCode="#,##0.00"/>
    </dxf>
    <dxf>
      <numFmt numFmtId="164" formatCode="#,##0\ [$€-40C]"/>
    </dxf>
    <dxf>
      <numFmt numFmtId="4" formatCode="#,##0.00"/>
    </dxf>
    <dxf>
      <numFmt numFmtId="14" formatCode="0.00%"/>
    </dxf>
    <dxf>
      <numFmt numFmtId="14" formatCode="0.00%"/>
    </dxf>
    <dxf>
      <alignment horizontal="center"/>
    </dxf>
    <dxf>
      <alignment vertical="center"/>
    </dxf>
    <dxf>
      <alignment horizontal="center"/>
    </dxf>
    <dxf>
      <alignment wrapText="1"/>
    </dxf>
    <dxf>
      <font>
        <b/>
      </fon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alignment horizontal="center"/>
    </dxf>
    <dxf>
      <alignment vertical="center"/>
    </dxf>
    <dxf>
      <alignment horizontal="center"/>
    </dxf>
    <dxf>
      <alignment wrapText="1"/>
    </dxf>
    <dxf>
      <font>
        <b/>
      </fon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alignment horizontal="center"/>
    </dxf>
    <dxf>
      <alignment vertical="center"/>
    </dxf>
    <dxf>
      <alignment horizontal="center"/>
    </dxf>
    <dxf>
      <alignment wrapText="1"/>
    </dxf>
    <dxf>
      <font>
        <b/>
      </fon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alignment wrapText="1"/>
    </dxf>
    <dxf>
      <alignment vertical="center"/>
    </dxf>
    <dxf>
      <alignment horizontal="center"/>
    </dxf>
    <dxf>
      <alignment horizontal="center"/>
    </dxf>
    <dxf>
      <alignment vertical="center"/>
    </dxf>
    <dxf>
      <alignment horizontal="center"/>
    </dxf>
    <dxf>
      <alignment wrapText="1"/>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border>
        <vertical/>
      </border>
    </dxf>
    <dxf>
      <font>
        <b/>
      </font>
      <alignment horizontal="center" vertical="center" wrapText="1"/>
    </dxf>
    <dxf>
      <alignment wrapText="1"/>
    </dxf>
    <dxf>
      <alignment vertical="center"/>
    </dxf>
    <dxf>
      <alignment horizontal="center"/>
    </dxf>
    <dxf>
      <alignment horizontal="center"/>
    </dxf>
    <dxf>
      <alignment vertical="center"/>
    </dxf>
    <dxf>
      <alignment horizontal="center"/>
    </dxf>
    <dxf>
      <alignment wrapText="1"/>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numFmt numFmtId="4" formatCode="#,##0.00"/>
    </dxf>
    <dxf>
      <numFmt numFmtId="164" formatCode="#,##0\ [$€-40C]"/>
    </dxf>
    <dxf>
      <numFmt numFmtId="4" formatCode="#,##0.00"/>
    </dxf>
    <dxf>
      <numFmt numFmtId="14" formatCode="0.00%"/>
    </dxf>
    <dxf>
      <numFmt numFmtId="14" formatCode="0.00%"/>
    </dxf>
    <dxf>
      <alignment horizontal="center"/>
    </dxf>
    <dxf>
      <alignment vertical="center"/>
    </dxf>
    <dxf>
      <alignment horizontal="center"/>
    </dxf>
    <dxf>
      <alignment wrapText="1"/>
    </dxf>
    <dxf>
      <font>
        <b/>
      </fon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alignment horizontal="center"/>
    </dxf>
    <dxf>
      <alignment vertical="center"/>
    </dxf>
    <dxf>
      <alignment horizontal="center"/>
    </dxf>
    <dxf>
      <alignment wrapText="1"/>
    </dxf>
    <dxf>
      <font>
        <b/>
      </fon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alignment horizontal="center"/>
    </dxf>
    <dxf>
      <alignment vertical="center"/>
    </dxf>
    <dxf>
      <alignment horizontal="center"/>
    </dxf>
    <dxf>
      <alignment wrapText="1"/>
    </dxf>
    <dxf>
      <font>
        <b/>
      </fon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alignment wrapText="1"/>
    </dxf>
    <dxf>
      <alignment vertical="center"/>
    </dxf>
    <dxf>
      <alignment horizontal="center"/>
    </dxf>
    <dxf>
      <alignment horizontal="center"/>
    </dxf>
    <dxf>
      <alignment vertical="center"/>
    </dxf>
    <dxf>
      <alignment horizontal="center"/>
    </dxf>
    <dxf>
      <alignment wrapText="1"/>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border>
        <vertical/>
      </border>
    </dxf>
    <dxf>
      <font>
        <b/>
      </font>
      <alignment horizontal="center" vertical="center" wrapText="1"/>
    </dxf>
    <dxf>
      <alignment wrapText="1"/>
    </dxf>
    <dxf>
      <alignment vertical="center"/>
    </dxf>
    <dxf>
      <alignment horizontal="center"/>
    </dxf>
    <dxf>
      <alignment horizontal="center"/>
    </dxf>
    <dxf>
      <alignment vertical="center"/>
    </dxf>
    <dxf>
      <alignment horizontal="center"/>
    </dxf>
    <dxf>
      <alignment wrapText="1"/>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numFmt numFmtId="4" formatCode="#,##0.00"/>
    </dxf>
    <dxf>
      <numFmt numFmtId="164" formatCode="#,##0\ [$€-40C]"/>
    </dxf>
    <dxf>
      <numFmt numFmtId="4" formatCode="#,##0.00"/>
    </dxf>
    <dxf>
      <numFmt numFmtId="14" formatCode="0.00%"/>
    </dxf>
    <dxf>
      <numFmt numFmtId="14" formatCode="0.00%"/>
    </dxf>
    <dxf>
      <alignment horizontal="center"/>
    </dxf>
    <dxf>
      <alignment vertical="center"/>
    </dxf>
    <dxf>
      <alignment horizontal="center"/>
    </dxf>
    <dxf>
      <alignment wrapText="1"/>
    </dxf>
    <dxf>
      <font>
        <b/>
      </fon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alignment horizontal="center"/>
    </dxf>
    <dxf>
      <alignment vertical="center"/>
    </dxf>
    <dxf>
      <alignment horizontal="center"/>
    </dxf>
    <dxf>
      <alignment wrapText="1"/>
    </dxf>
    <dxf>
      <font>
        <b/>
      </fon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alignment horizontal="center"/>
    </dxf>
    <dxf>
      <alignment vertical="center"/>
    </dxf>
    <dxf>
      <alignment horizontal="center"/>
    </dxf>
    <dxf>
      <alignment wrapText="1"/>
    </dxf>
    <dxf>
      <font>
        <b/>
      </fon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alignment wrapText="1"/>
    </dxf>
    <dxf>
      <alignment vertical="center"/>
    </dxf>
    <dxf>
      <alignment horizontal="center"/>
    </dxf>
    <dxf>
      <alignment horizontal="center"/>
    </dxf>
    <dxf>
      <alignment vertical="center"/>
    </dxf>
    <dxf>
      <alignment horizontal="center"/>
    </dxf>
    <dxf>
      <alignment wrapText="1"/>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border>
        <vertical/>
      </border>
    </dxf>
    <dxf>
      <font>
        <b/>
      </font>
      <alignment horizontal="center" vertical="center" wrapText="1"/>
    </dxf>
    <dxf>
      <alignment wrapText="1"/>
    </dxf>
    <dxf>
      <alignment vertical="center"/>
    </dxf>
    <dxf>
      <alignment horizontal="center"/>
    </dxf>
    <dxf>
      <alignment horizontal="center"/>
    </dxf>
    <dxf>
      <alignment vertical="center"/>
    </dxf>
    <dxf>
      <alignment horizontal="center"/>
    </dxf>
    <dxf>
      <alignment wrapText="1"/>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numFmt numFmtId="4" formatCode="#,##0.00"/>
    </dxf>
    <dxf>
      <numFmt numFmtId="164" formatCode="#,##0\ [$€-40C]"/>
    </dxf>
    <dxf>
      <numFmt numFmtId="4" formatCode="#,##0.00"/>
    </dxf>
    <dxf>
      <numFmt numFmtId="14" formatCode="0.00%"/>
    </dxf>
    <dxf>
      <numFmt numFmtId="14" formatCode="0.00%"/>
    </dxf>
    <dxf>
      <alignment horizontal="center"/>
    </dxf>
    <dxf>
      <alignment vertical="center"/>
    </dxf>
    <dxf>
      <alignment horizontal="center"/>
    </dxf>
    <dxf>
      <alignment wrapText="1"/>
    </dxf>
    <dxf>
      <font>
        <b/>
      </fon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alignment horizontal="center"/>
    </dxf>
    <dxf>
      <alignment vertical="center"/>
    </dxf>
    <dxf>
      <alignment horizontal="center"/>
    </dxf>
    <dxf>
      <alignment wrapText="1"/>
    </dxf>
    <dxf>
      <font>
        <b/>
      </fon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alignment horizontal="center"/>
    </dxf>
    <dxf>
      <alignment vertical="center"/>
    </dxf>
    <dxf>
      <alignment horizontal="center"/>
    </dxf>
    <dxf>
      <alignment wrapText="1"/>
    </dxf>
    <dxf>
      <font>
        <b/>
      </fon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alignment wrapText="1"/>
    </dxf>
    <dxf>
      <alignment vertical="center"/>
    </dxf>
    <dxf>
      <alignment horizontal="center"/>
    </dxf>
    <dxf>
      <alignment horizontal="center"/>
    </dxf>
    <dxf>
      <alignment vertical="center"/>
    </dxf>
    <dxf>
      <alignment horizontal="center"/>
    </dxf>
    <dxf>
      <alignment wrapText="1"/>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border>
        <vertical/>
      </border>
    </dxf>
    <dxf>
      <font>
        <b/>
      </font>
      <alignment horizontal="center" vertical="center" wrapText="1"/>
    </dxf>
    <dxf>
      <alignment wrapText="1"/>
    </dxf>
    <dxf>
      <alignment vertical="center"/>
    </dxf>
    <dxf>
      <alignment horizontal="center"/>
    </dxf>
    <dxf>
      <alignment horizontal="center"/>
    </dxf>
    <dxf>
      <alignment vertical="center"/>
    </dxf>
    <dxf>
      <alignment horizontal="center"/>
    </dxf>
    <dxf>
      <alignment wrapText="1"/>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numFmt numFmtId="4" formatCode="#,##0.00"/>
    </dxf>
    <dxf>
      <numFmt numFmtId="164" formatCode="#,##0\ [$€-40C]"/>
    </dxf>
    <dxf>
      <numFmt numFmtId="4" formatCode="#,##0.00"/>
    </dxf>
    <dxf>
      <numFmt numFmtId="14" formatCode="0.00%"/>
    </dxf>
    <dxf>
      <numFmt numFmtId="14" formatCode="0.00%"/>
    </dxf>
    <dxf>
      <alignment horizontal="center"/>
    </dxf>
    <dxf>
      <alignment vertical="center"/>
    </dxf>
    <dxf>
      <alignment horizontal="center"/>
    </dxf>
    <dxf>
      <alignment wrapText="1"/>
    </dxf>
    <dxf>
      <font>
        <b/>
      </fon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alignment horizontal="center"/>
    </dxf>
    <dxf>
      <alignment vertical="center"/>
    </dxf>
    <dxf>
      <alignment horizontal="center"/>
    </dxf>
    <dxf>
      <alignment wrapText="1"/>
    </dxf>
    <dxf>
      <font>
        <b/>
      </fon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alignment horizontal="center"/>
    </dxf>
    <dxf>
      <alignment vertical="center"/>
    </dxf>
    <dxf>
      <alignment horizontal="center"/>
    </dxf>
    <dxf>
      <alignment wrapText="1"/>
    </dxf>
    <dxf>
      <font>
        <b/>
      </fon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alignment wrapText="1"/>
    </dxf>
    <dxf>
      <alignment vertical="center"/>
    </dxf>
    <dxf>
      <alignment horizontal="center"/>
    </dxf>
    <dxf>
      <alignment horizontal="center"/>
    </dxf>
    <dxf>
      <alignment vertical="center"/>
    </dxf>
    <dxf>
      <alignment horizontal="center"/>
    </dxf>
    <dxf>
      <alignment wrapText="1"/>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border>
        <vertical/>
      </border>
    </dxf>
    <dxf>
      <font>
        <b/>
      </font>
      <alignment horizontal="center" vertical="center" wrapText="1"/>
    </dxf>
    <dxf>
      <alignment wrapText="1"/>
    </dxf>
    <dxf>
      <alignment vertical="center"/>
    </dxf>
    <dxf>
      <alignment horizontal="center"/>
    </dxf>
    <dxf>
      <alignment horizontal="center"/>
    </dxf>
    <dxf>
      <alignment vertical="center"/>
    </dxf>
    <dxf>
      <alignment horizontal="center"/>
    </dxf>
    <dxf>
      <alignment wrapText="1"/>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numFmt numFmtId="4" formatCode="#,##0.00"/>
    </dxf>
    <dxf>
      <numFmt numFmtId="164" formatCode="#,##0\ [$€-40C]"/>
    </dxf>
    <dxf>
      <numFmt numFmtId="4" formatCode="#,##0.00"/>
    </dxf>
    <dxf>
      <numFmt numFmtId="14" formatCode="0.00%"/>
    </dxf>
    <dxf>
      <numFmt numFmtId="14" formatCode="0.00%"/>
    </dxf>
    <dxf>
      <alignment horizontal="center"/>
    </dxf>
    <dxf>
      <alignment vertical="center"/>
    </dxf>
    <dxf>
      <alignment horizontal="center"/>
    </dxf>
    <dxf>
      <alignment wrapText="1"/>
    </dxf>
    <dxf>
      <font>
        <b/>
      </fon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alignment horizontal="center"/>
    </dxf>
    <dxf>
      <alignment vertical="center"/>
    </dxf>
    <dxf>
      <alignment horizontal="center"/>
    </dxf>
    <dxf>
      <alignment wrapText="1"/>
    </dxf>
    <dxf>
      <font>
        <b/>
      </fon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alignment horizontal="center"/>
    </dxf>
    <dxf>
      <alignment vertical="center"/>
    </dxf>
    <dxf>
      <alignment horizontal="center"/>
    </dxf>
    <dxf>
      <alignment wrapText="1"/>
    </dxf>
    <dxf>
      <font>
        <b/>
      </fon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alignment wrapText="1"/>
    </dxf>
    <dxf>
      <alignment vertical="center"/>
    </dxf>
    <dxf>
      <alignment horizontal="center"/>
    </dxf>
    <dxf>
      <alignment horizontal="center"/>
    </dxf>
    <dxf>
      <alignment vertical="center"/>
    </dxf>
    <dxf>
      <alignment horizontal="center"/>
    </dxf>
    <dxf>
      <alignment wrapText="1"/>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border>
        <vertical/>
      </border>
    </dxf>
    <dxf>
      <font>
        <b/>
      </font>
      <alignment horizontal="center" vertical="center" wrapText="1"/>
    </dxf>
    <dxf>
      <alignment wrapText="1"/>
    </dxf>
    <dxf>
      <alignment vertical="center"/>
    </dxf>
    <dxf>
      <alignment horizontal="center"/>
    </dxf>
    <dxf>
      <alignment horizontal="center"/>
    </dxf>
    <dxf>
      <alignment vertical="center"/>
    </dxf>
    <dxf>
      <alignment horizontal="center"/>
    </dxf>
    <dxf>
      <alignment wrapText="1"/>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border>
    </dxf>
    <dxf>
      <border>
        <vertical/>
      </border>
    </dxf>
    <dxf>
      <font>
        <b/>
      </font>
      <alignment horizontal="center" vertical="center" wrapText="1"/>
    </dxf>
    <dxf>
      <numFmt numFmtId="4" formatCode="#,##0.00"/>
    </dxf>
    <dxf>
      <numFmt numFmtId="164" formatCode="#,##0\ [$€-40C]"/>
    </dxf>
    <dxf>
      <font>
        <b/>
        <i val="0"/>
        <strike val="0"/>
        <condense val="0"/>
        <extend val="0"/>
        <outline val="0"/>
        <shadow val="0"/>
        <u val="none"/>
        <vertAlign val="baseline"/>
        <sz val="11"/>
        <color theme="0"/>
        <name val="Calibri"/>
        <family val="2"/>
        <scheme val="minor"/>
      </font>
      <fill>
        <patternFill patternType="solid">
          <fgColor indexed="64"/>
          <bgColor rgb="FF002060"/>
        </patternFill>
      </fill>
      <alignment horizontal="center" vertical="top" textRotation="0" wrapText="0" indent="0" justifyLastLine="0" shrinkToFit="0" readingOrder="0"/>
      <border diagonalUp="0" diagonalDown="0" outline="0">
        <left style="thin">
          <color indexed="64"/>
        </left>
        <right style="thin">
          <color indexed="64"/>
        </right>
        <top/>
        <bottom/>
      </border>
    </dxf>
    <dxf>
      <numFmt numFmtId="14" formatCode="0.00%"/>
    </dxf>
    <dxf>
      <numFmt numFmtId="164" formatCode="#,##0\ [$€-40C]"/>
    </dxf>
    <dxf>
      <font>
        <b val="0"/>
        <i val="0"/>
        <strike val="0"/>
        <condense val="0"/>
        <extend val="0"/>
        <outline val="0"/>
        <shadow val="0"/>
        <u val="none"/>
        <vertAlign val="baseline"/>
        <sz val="11"/>
        <color theme="1"/>
        <name val="Calibri"/>
        <family val="2"/>
        <scheme val="minor"/>
      </font>
      <numFmt numFmtId="14" formatCode="0.00%"/>
    </dxf>
    <dxf>
      <numFmt numFmtId="164" formatCode="#,##0\ [$€-40C]"/>
    </dxf>
    <dxf>
      <numFmt numFmtId="19" formatCode="m/d/yyyy"/>
    </dxf>
    <dxf>
      <numFmt numFmtId="165" formatCode="d/m/yy;@"/>
    </dxf>
    <dxf>
      <border outline="0">
        <bottom style="thin">
          <color indexed="64"/>
        </bottom>
      </border>
    </dxf>
    <dxf>
      <border outline="0">
        <top style="thin">
          <color auto="1"/>
        </top>
      </border>
    </dxf>
    <dxf>
      <numFmt numFmtId="14" formatCode="0.00%"/>
    </dxf>
    <dxf>
      <border>
        <vertical/>
      </border>
    </dxf>
    <dxf>
      <border>
        <vertical/>
      </border>
    </dxf>
    <dxf>
      <border>
        <vertical/>
      </border>
    </dxf>
    <dxf>
      <border>
        <vertical/>
      </border>
    </dxf>
    <dxf>
      <border>
        <vertic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alignment wrapText="1"/>
    </dxf>
    <dxf>
      <alignment horizontal="center"/>
    </dxf>
    <dxf>
      <alignment vertical="center"/>
    </dxf>
    <dxf>
      <alignment horizontal="center"/>
    </dxf>
    <dxf>
      <alignment wrapText="1"/>
    </dxf>
    <dxf>
      <alignment vertical="center"/>
    </dxf>
    <dxf>
      <alignment horizontal="center"/>
    </dxf>
    <dxf>
      <alignment horizontal="center"/>
    </dxf>
    <dxf>
      <alignment vertical="center"/>
    </dxf>
    <dxf>
      <alignment wrapText="1"/>
    </dxf>
  </dxfs>
  <tableStyles count="0" defaultTableStyle="TableStyleMedium9" defaultPivotStyle="PivotStyleLight16"/>
  <colors>
    <mruColors>
      <color rgb="FFCD4933"/>
      <color rgb="FF76502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[Donnees_Campagnes_Publicitaires_Exam_Module1_Vincent Dotigny.xlsx]TCD!Tableau croisé dynamique8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TCD!$C$19</c:f>
              <c:strCache>
                <c:ptCount val="1"/>
                <c:pt idx="0">
                  <c:v>Total</c:v>
                </c:pt>
              </c:strCache>
            </c:strRef>
          </c:tx>
          <c:spPr>
            <a:solidFill>
              <a:schemeClr val="accent1"/>
            </a:solidFill>
            <a:ln>
              <a:noFill/>
            </a:ln>
            <a:effectLst/>
            <a:sp3d/>
          </c:spPr>
          <c:invertIfNegative val="0"/>
          <c:cat>
            <c:strRef>
              <c:f>TCD!$B$20:$B$23</c:f>
              <c:strCache>
                <c:ptCount val="3"/>
                <c:pt idx="0">
                  <c:v>Facebook</c:v>
                </c:pt>
                <c:pt idx="1">
                  <c:v>Instagram</c:v>
                </c:pt>
                <c:pt idx="2">
                  <c:v>Twitter</c:v>
                </c:pt>
              </c:strCache>
            </c:strRef>
          </c:cat>
          <c:val>
            <c:numRef>
              <c:f>TCD!$C$20:$C$23</c:f>
              <c:numCache>
                <c:formatCode>#,##0\ [$€-40C]</c:formatCode>
                <c:ptCount val="3"/>
                <c:pt idx="0">
                  <c:v>497803</c:v>
                </c:pt>
                <c:pt idx="1">
                  <c:v>561028</c:v>
                </c:pt>
                <c:pt idx="2">
                  <c:v>411222</c:v>
                </c:pt>
              </c:numCache>
            </c:numRef>
          </c:val>
          <c:extLst>
            <c:ext xmlns:c16="http://schemas.microsoft.com/office/drawing/2014/chart" uri="{C3380CC4-5D6E-409C-BE32-E72D297353CC}">
              <c16:uniqueId val="{00000000-4ED7-45D6-9E72-BB7D82B77AA0}"/>
            </c:ext>
          </c:extLst>
        </c:ser>
        <c:dLbls>
          <c:showLegendKey val="0"/>
          <c:showVal val="0"/>
          <c:showCatName val="0"/>
          <c:showSerName val="0"/>
          <c:showPercent val="0"/>
          <c:showBubbleSize val="0"/>
        </c:dLbls>
        <c:gapWidth val="150"/>
        <c:shape val="box"/>
        <c:axId val="1164117584"/>
        <c:axId val="1164118064"/>
        <c:axId val="0"/>
      </c:bar3DChart>
      <c:catAx>
        <c:axId val="1164117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64118064"/>
        <c:crosses val="autoZero"/>
        <c:auto val="1"/>
        <c:lblAlgn val="ctr"/>
        <c:lblOffset val="100"/>
        <c:noMultiLvlLbl val="0"/>
      </c:catAx>
      <c:valAx>
        <c:axId val="1164118064"/>
        <c:scaling>
          <c:orientation val="minMax"/>
        </c:scaling>
        <c:delete val="0"/>
        <c:axPos val="l"/>
        <c:majorGridlines>
          <c:spPr>
            <a:ln w="9525" cap="flat" cmpd="sng" algn="ctr">
              <a:solidFill>
                <a:schemeClr val="tx1">
                  <a:lumMod val="15000"/>
                  <a:lumOff val="85000"/>
                </a:schemeClr>
              </a:solidFill>
              <a:round/>
            </a:ln>
            <a:effectLst/>
          </c:spPr>
        </c:majorGridlines>
        <c:numFmt formatCode="#,##0\ [$€-40C]"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64117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[Donnees_Campagnes_Publicitaires_Exam_Module1_Vincent Dotigny.xlsx]TCD!Tableau croisé dynamique9</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TCD!$H$19</c:f>
              <c:strCache>
                <c:ptCount val="1"/>
                <c:pt idx="0">
                  <c:v>Total</c:v>
                </c:pt>
              </c:strCache>
            </c:strRef>
          </c:tx>
          <c:spPr>
            <a:solidFill>
              <a:schemeClr val="accent1"/>
            </a:solidFill>
            <a:ln>
              <a:noFill/>
            </a:ln>
            <a:effectLst/>
            <a:sp3d/>
          </c:spPr>
          <c:invertIfNegative val="0"/>
          <c:cat>
            <c:strRef>
              <c:f>TCD!$G$20:$G$23</c:f>
              <c:strCache>
                <c:ptCount val="3"/>
                <c:pt idx="0">
                  <c:v>Facebook</c:v>
                </c:pt>
                <c:pt idx="1">
                  <c:v>Instagram</c:v>
                </c:pt>
                <c:pt idx="2">
                  <c:v>Twitter</c:v>
                </c:pt>
              </c:strCache>
            </c:strRef>
          </c:cat>
          <c:val>
            <c:numRef>
              <c:f>TCD!$H$20:$H$23</c:f>
              <c:numCache>
                <c:formatCode>0.00%</c:formatCode>
                <c:ptCount val="3"/>
                <c:pt idx="0">
                  <c:v>1.610355799759722</c:v>
                </c:pt>
                <c:pt idx="1">
                  <c:v>1.4655933911004675</c:v>
                </c:pt>
                <c:pt idx="2">
                  <c:v>1.849753125553353</c:v>
                </c:pt>
              </c:numCache>
            </c:numRef>
          </c:val>
          <c:extLst>
            <c:ext xmlns:c16="http://schemas.microsoft.com/office/drawing/2014/chart" uri="{C3380CC4-5D6E-409C-BE32-E72D297353CC}">
              <c16:uniqueId val="{00000000-7364-4E6F-ACB0-D3A9839CE48C}"/>
            </c:ext>
          </c:extLst>
        </c:ser>
        <c:dLbls>
          <c:showLegendKey val="0"/>
          <c:showVal val="0"/>
          <c:showCatName val="0"/>
          <c:showSerName val="0"/>
          <c:showPercent val="0"/>
          <c:showBubbleSize val="0"/>
        </c:dLbls>
        <c:gapWidth val="150"/>
        <c:shape val="box"/>
        <c:axId val="1164011024"/>
        <c:axId val="1164003344"/>
        <c:axId val="0"/>
      </c:bar3DChart>
      <c:catAx>
        <c:axId val="1164011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64003344"/>
        <c:crosses val="autoZero"/>
        <c:auto val="1"/>
        <c:lblAlgn val="ctr"/>
        <c:lblOffset val="100"/>
        <c:noMultiLvlLbl val="0"/>
      </c:catAx>
      <c:valAx>
        <c:axId val="116400334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6401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[Donnees_Campagnes_Publicitaires_Exam_Module1_Vincent Dotigny.xlsx]TCD!Tableau croisé dynamique10</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TCD!$C$43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TCD!$B$44:$B$46</c:f>
              <c:strCache>
                <c:ptCount val="2"/>
                <c:pt idx="0">
                  <c:v>Femme</c:v>
                </c:pt>
                <c:pt idx="1">
                  <c:v>Homme</c:v>
                </c:pt>
              </c:strCache>
            </c:strRef>
          </c:cat>
          <c:val>
            <c:numRef>
              <c:f>TCD!$C$44:$C$46</c:f>
              <c:numCache>
                <c:formatCode>#,##0\ [$€-40C]</c:formatCode>
                <c:ptCount val="2"/>
                <c:pt idx="0">
                  <c:v>827006</c:v>
                </c:pt>
                <c:pt idx="1">
                  <c:v>643047</c:v>
                </c:pt>
              </c:numCache>
            </c:numRef>
          </c:val>
          <c:extLst>
            <c:ext xmlns:c16="http://schemas.microsoft.com/office/drawing/2014/chart" uri="{C3380CC4-5D6E-409C-BE32-E72D297353CC}">
              <c16:uniqueId val="{00000000-D3D4-4C18-AB5C-0A5874621621}"/>
            </c:ext>
          </c:extLst>
        </c:ser>
        <c:dLbls>
          <c:dLblPos val="outEnd"/>
          <c:showLegendKey val="0"/>
          <c:showVal val="1"/>
          <c:showCatName val="0"/>
          <c:showSerName val="0"/>
          <c:showPercent val="0"/>
          <c:showBubbleSize val="0"/>
        </c:dLbls>
        <c:gapWidth val="444"/>
        <c:overlap val="-90"/>
        <c:axId val="1164032624"/>
        <c:axId val="1164038864"/>
      </c:barChart>
      <c:catAx>
        <c:axId val="1164032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fr-FR"/>
          </a:p>
        </c:txPr>
        <c:crossAx val="1164038864"/>
        <c:crosses val="autoZero"/>
        <c:auto val="1"/>
        <c:lblAlgn val="ctr"/>
        <c:lblOffset val="100"/>
        <c:noMultiLvlLbl val="0"/>
      </c:catAx>
      <c:valAx>
        <c:axId val="1164038864"/>
        <c:scaling>
          <c:orientation val="minMax"/>
        </c:scaling>
        <c:delete val="1"/>
        <c:axPos val="l"/>
        <c:numFmt formatCode="#,##0\ [$€-40C]" sourceLinked="1"/>
        <c:majorTickMark val="none"/>
        <c:minorTickMark val="none"/>
        <c:tickLblPos val="nextTo"/>
        <c:crossAx val="1164032624"/>
        <c:crosses val="autoZero"/>
        <c:crossBetween val="between"/>
      </c:valAx>
      <c:spPr>
        <a:noFill/>
        <a:ln>
          <a:noFill/>
        </a:ln>
        <a:effectLst/>
      </c:spPr>
    </c:plotArea>
    <c:legend>
      <c:legendPos val="r"/>
      <c:layout>
        <c:manualLayout>
          <c:xMode val="edge"/>
          <c:yMode val="edge"/>
          <c:x val="0.8580649606299211"/>
          <c:y val="0.82928186060075804"/>
          <c:w val="0.12526837270341207"/>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[Donnees_Campagnes_Publicitaires_Exam_Module1_Vincent Dotigny.xlsx]TCD!Tableau croisé dynamique11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TCD!$C$58</c:f>
              <c:strCache>
                <c:ptCount val="1"/>
                <c:pt idx="0">
                  <c:v>Total</c:v>
                </c:pt>
              </c:strCache>
            </c:strRef>
          </c:tx>
          <c:spPr>
            <a:solidFill>
              <a:schemeClr val="accent1"/>
            </a:solidFill>
            <a:ln>
              <a:noFill/>
            </a:ln>
            <a:effectLst/>
          </c:spPr>
          <c:invertIfNegative val="0"/>
          <c:cat>
            <c:strRef>
              <c:f>TCD!$B$59:$B$64</c:f>
              <c:strCache>
                <c:ptCount val="5"/>
                <c:pt idx="0">
                  <c:v>18-24</c:v>
                </c:pt>
                <c:pt idx="1">
                  <c:v>25-34</c:v>
                </c:pt>
                <c:pt idx="2">
                  <c:v>35-44</c:v>
                </c:pt>
                <c:pt idx="3">
                  <c:v>45-54</c:v>
                </c:pt>
                <c:pt idx="4">
                  <c:v>55+</c:v>
                </c:pt>
              </c:strCache>
            </c:strRef>
          </c:cat>
          <c:val>
            <c:numRef>
              <c:f>TCD!$C$59:$C$64</c:f>
              <c:numCache>
                <c:formatCode>0.00%</c:formatCode>
                <c:ptCount val="5"/>
                <c:pt idx="0">
                  <c:v>0.11618000000000001</c:v>
                </c:pt>
                <c:pt idx="1">
                  <c:v>0.13539130434782609</c:v>
                </c:pt>
                <c:pt idx="2">
                  <c:v>6.5416666666666651E-2</c:v>
                </c:pt>
                <c:pt idx="3">
                  <c:v>8.0086363636363664E-2</c:v>
                </c:pt>
                <c:pt idx="4">
                  <c:v>3.3058823529411759E-2</c:v>
                </c:pt>
              </c:numCache>
            </c:numRef>
          </c:val>
          <c:extLst>
            <c:ext xmlns:c16="http://schemas.microsoft.com/office/drawing/2014/chart" uri="{C3380CC4-5D6E-409C-BE32-E72D297353CC}">
              <c16:uniqueId val="{00000000-34B9-40A1-B7C6-0903234D5F73}"/>
            </c:ext>
          </c:extLst>
        </c:ser>
        <c:dLbls>
          <c:showLegendKey val="0"/>
          <c:showVal val="0"/>
          <c:showCatName val="0"/>
          <c:showSerName val="0"/>
          <c:showPercent val="0"/>
          <c:showBubbleSize val="0"/>
        </c:dLbls>
        <c:gapWidth val="219"/>
        <c:overlap val="-27"/>
        <c:axId val="1164114224"/>
        <c:axId val="1164118544"/>
      </c:barChart>
      <c:catAx>
        <c:axId val="116411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64118544"/>
        <c:crosses val="autoZero"/>
        <c:auto val="1"/>
        <c:lblAlgn val="ctr"/>
        <c:lblOffset val="100"/>
        <c:noMultiLvlLbl val="0"/>
      </c:catAx>
      <c:valAx>
        <c:axId val="116411854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6411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[Donnees_Campagnes_Publicitaires_Exam_Module1_Vincent Dotigny.xlsx]TCD!Tableau croisé dynamique1</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TCD!$C$49</c:f>
              <c:strCache>
                <c:ptCount val="1"/>
                <c:pt idx="0">
                  <c:v>Total</c:v>
                </c:pt>
              </c:strCache>
            </c:strRef>
          </c:tx>
          <c:spPr>
            <a:solidFill>
              <a:schemeClr val="accent1"/>
            </a:solidFill>
            <a:ln>
              <a:noFill/>
            </a:ln>
            <a:effectLst/>
          </c:spPr>
          <c:invertIfNegative val="0"/>
          <c:cat>
            <c:strRef>
              <c:f>TCD!$B$50:$B$55</c:f>
              <c:strCache>
                <c:ptCount val="5"/>
                <c:pt idx="0">
                  <c:v>18-24</c:v>
                </c:pt>
                <c:pt idx="1">
                  <c:v>25-34</c:v>
                </c:pt>
                <c:pt idx="2">
                  <c:v>35-44</c:v>
                </c:pt>
                <c:pt idx="3">
                  <c:v>45-54</c:v>
                </c:pt>
                <c:pt idx="4">
                  <c:v>55+</c:v>
                </c:pt>
              </c:strCache>
            </c:strRef>
          </c:cat>
          <c:val>
            <c:numRef>
              <c:f>TCD!$C$50:$C$55</c:f>
              <c:numCache>
                <c:formatCode>#,##0\ [$€-40C]</c:formatCode>
                <c:ptCount val="5"/>
                <c:pt idx="0">
                  <c:v>398209</c:v>
                </c:pt>
                <c:pt idx="1">
                  <c:v>274382</c:v>
                </c:pt>
                <c:pt idx="2">
                  <c:v>270590</c:v>
                </c:pt>
                <c:pt idx="3">
                  <c:v>274285</c:v>
                </c:pt>
                <c:pt idx="4">
                  <c:v>252587</c:v>
                </c:pt>
              </c:numCache>
            </c:numRef>
          </c:val>
          <c:extLst>
            <c:ext xmlns:c16="http://schemas.microsoft.com/office/drawing/2014/chart" uri="{C3380CC4-5D6E-409C-BE32-E72D297353CC}">
              <c16:uniqueId val="{00000000-A7E9-4260-9F11-C4AEBF3A0688}"/>
            </c:ext>
          </c:extLst>
        </c:ser>
        <c:dLbls>
          <c:showLegendKey val="0"/>
          <c:showVal val="0"/>
          <c:showCatName val="0"/>
          <c:showSerName val="0"/>
          <c:showPercent val="0"/>
          <c:showBubbleSize val="0"/>
        </c:dLbls>
        <c:gapWidth val="219"/>
        <c:overlap val="-27"/>
        <c:axId val="205346527"/>
        <c:axId val="205354687"/>
      </c:barChart>
      <c:catAx>
        <c:axId val="20534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5354687"/>
        <c:crosses val="autoZero"/>
        <c:auto val="1"/>
        <c:lblAlgn val="ctr"/>
        <c:lblOffset val="100"/>
        <c:noMultiLvlLbl val="0"/>
      </c:catAx>
      <c:valAx>
        <c:axId val="205354687"/>
        <c:scaling>
          <c:orientation val="minMax"/>
        </c:scaling>
        <c:delete val="0"/>
        <c:axPos val="l"/>
        <c:majorGridlines>
          <c:spPr>
            <a:ln w="9525" cap="flat" cmpd="sng" algn="ctr">
              <a:solidFill>
                <a:schemeClr val="tx1">
                  <a:lumMod val="15000"/>
                  <a:lumOff val="85000"/>
                </a:schemeClr>
              </a:solidFill>
              <a:round/>
            </a:ln>
            <a:effectLst/>
          </c:spPr>
        </c:majorGridlines>
        <c:numFmt formatCode="#,##0\ [$€-40C]"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534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[Donnees_Campagnes_Publicitaires_Exam_Module1_Vincent Dotigny.xlsx]TCD!Tableau croisé dynamique2</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TCD!$C$67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DEA-4ED8-A02A-82DEA3B77F4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DEA-4ED8-A02A-82DEA3B77F48}"/>
              </c:ext>
            </c:extLst>
          </c:dPt>
          <c:cat>
            <c:strRef>
              <c:f>TCD!$B$68:$B$70</c:f>
              <c:strCache>
                <c:ptCount val="2"/>
                <c:pt idx="0">
                  <c:v>Femme</c:v>
                </c:pt>
                <c:pt idx="1">
                  <c:v>Homme</c:v>
                </c:pt>
              </c:strCache>
            </c:strRef>
          </c:cat>
          <c:val>
            <c:numRef>
              <c:f>TCD!$C$68:$C$70</c:f>
              <c:numCache>
                <c:formatCode>0.00%</c:formatCode>
                <c:ptCount val="2"/>
                <c:pt idx="0">
                  <c:v>6.1356140350877199E-2</c:v>
                </c:pt>
                <c:pt idx="1">
                  <c:v>0.12547083333333331</c:v>
                </c:pt>
              </c:numCache>
            </c:numRef>
          </c:val>
          <c:extLst>
            <c:ext xmlns:c16="http://schemas.microsoft.com/office/drawing/2014/chart" uri="{C3380CC4-5D6E-409C-BE32-E72D297353CC}">
              <c16:uniqueId val="{00000000-891A-47E9-8D73-BFE84741BD6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[Donnees_Campagnes_Publicitaires_Exam_Module1_Vincent Dotigny.xlsx]TCD!Tableau croisé dynamique3</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dLbl>
          <c:idx val="0"/>
          <c:showLegendKey val="0"/>
          <c:showVal val="0"/>
          <c:showCatName val="0"/>
          <c:showSerName val="0"/>
          <c:showPercent val="0"/>
          <c:showBubbleSize val="0"/>
          <c:extLst>
            <c:ext xmlns:c15="http://schemas.microsoft.com/office/drawing/2012/chart" uri="{CE6537A1-D6FC-4f65-9D91-7224C49458BB}"/>
          </c:extLst>
        </c:dLbl>
      </c:pivotFmt>
      <c:pivotFmt>
        <c:idx val="188"/>
        <c:dLbl>
          <c:idx val="0"/>
          <c:showLegendKey val="0"/>
          <c:showVal val="0"/>
          <c:showCatName val="0"/>
          <c:showSerName val="0"/>
          <c:showPercent val="0"/>
          <c:showBubbleSize val="0"/>
          <c:extLst>
            <c:ext xmlns:c15="http://schemas.microsoft.com/office/drawing/2012/chart" uri="{CE6537A1-D6FC-4f65-9D91-7224C49458BB}"/>
          </c:extLst>
        </c:dLbl>
      </c:pivotFmt>
      <c:pivotFmt>
        <c:idx val="189"/>
        <c:dLbl>
          <c:idx val="0"/>
          <c:showLegendKey val="0"/>
          <c:showVal val="0"/>
          <c:showCatName val="0"/>
          <c:showSerName val="0"/>
          <c:showPercent val="0"/>
          <c:showBubbleSize val="0"/>
          <c:extLst>
            <c:ext xmlns:c15="http://schemas.microsoft.com/office/drawing/2012/chart" uri="{CE6537A1-D6FC-4f65-9D91-7224C49458BB}"/>
          </c:extLst>
        </c:dLbl>
      </c:pivotFmt>
      <c:pivotFmt>
        <c:idx val="190"/>
        <c:dLbl>
          <c:idx val="0"/>
          <c:showLegendKey val="0"/>
          <c:showVal val="0"/>
          <c:showCatName val="0"/>
          <c:showSerName val="0"/>
          <c:showPercent val="0"/>
          <c:showBubbleSize val="0"/>
          <c:extLst>
            <c:ext xmlns:c15="http://schemas.microsoft.com/office/drawing/2012/chart" uri="{CE6537A1-D6FC-4f65-9D91-7224C49458BB}"/>
          </c:extLst>
        </c:dLbl>
      </c:pivotFmt>
      <c:pivotFmt>
        <c:idx val="191"/>
        <c:dLbl>
          <c:idx val="0"/>
          <c:showLegendKey val="0"/>
          <c:showVal val="0"/>
          <c:showCatName val="0"/>
          <c:showSerName val="0"/>
          <c:showPercent val="0"/>
          <c:showBubbleSize val="0"/>
          <c:extLst>
            <c:ext xmlns:c15="http://schemas.microsoft.com/office/drawing/2012/chart" uri="{CE6537A1-D6FC-4f65-9D91-7224C49458BB}"/>
          </c:extLst>
        </c:dLbl>
      </c:pivotFmt>
      <c:pivotFmt>
        <c:idx val="192"/>
        <c:dLbl>
          <c:idx val="0"/>
          <c:showLegendKey val="0"/>
          <c:showVal val="0"/>
          <c:showCatName val="0"/>
          <c:showSerName val="0"/>
          <c:showPercent val="0"/>
          <c:showBubbleSize val="0"/>
          <c:extLst>
            <c:ext xmlns:c15="http://schemas.microsoft.com/office/drawing/2012/chart" uri="{CE6537A1-D6FC-4f65-9D91-7224C49458BB}"/>
          </c:extLst>
        </c:dLbl>
      </c:pivotFmt>
      <c:pivotFmt>
        <c:idx val="193"/>
        <c:dLbl>
          <c:idx val="0"/>
          <c:showLegendKey val="0"/>
          <c:showVal val="0"/>
          <c:showCatName val="0"/>
          <c:showSerName val="0"/>
          <c:showPercent val="0"/>
          <c:showBubbleSize val="0"/>
          <c:extLst>
            <c:ext xmlns:c15="http://schemas.microsoft.com/office/drawing/2012/chart" uri="{CE6537A1-D6FC-4f65-9D91-7224C49458BB}"/>
          </c:extLst>
        </c:dLbl>
      </c:pivotFmt>
      <c:pivotFmt>
        <c:idx val="194"/>
        <c:dLbl>
          <c:idx val="0"/>
          <c:showLegendKey val="0"/>
          <c:showVal val="0"/>
          <c:showCatName val="0"/>
          <c:showSerName val="0"/>
          <c:showPercent val="0"/>
          <c:showBubbleSize val="0"/>
          <c:extLst>
            <c:ext xmlns:c15="http://schemas.microsoft.com/office/drawing/2012/chart" uri="{CE6537A1-D6FC-4f65-9D91-7224C49458BB}"/>
          </c:extLst>
        </c:dLbl>
      </c:pivotFmt>
      <c:pivotFmt>
        <c:idx val="195"/>
        <c:dLbl>
          <c:idx val="0"/>
          <c:showLegendKey val="0"/>
          <c:showVal val="0"/>
          <c:showCatName val="0"/>
          <c:showSerName val="0"/>
          <c:showPercent val="0"/>
          <c:showBubbleSize val="0"/>
          <c:extLst>
            <c:ext xmlns:c15="http://schemas.microsoft.com/office/drawing/2012/chart" uri="{CE6537A1-D6FC-4f65-9D91-7224C49458BB}"/>
          </c:extLst>
        </c:dLbl>
      </c:pivotFmt>
      <c:pivotFmt>
        <c:idx val="196"/>
        <c:dLbl>
          <c:idx val="0"/>
          <c:showLegendKey val="0"/>
          <c:showVal val="0"/>
          <c:showCatName val="0"/>
          <c:showSerName val="0"/>
          <c:showPercent val="0"/>
          <c:showBubbleSize val="0"/>
          <c:extLst>
            <c:ext xmlns:c15="http://schemas.microsoft.com/office/drawing/2012/chart" uri="{CE6537A1-D6FC-4f65-9D91-7224C49458BB}"/>
          </c:extLst>
        </c:dLbl>
      </c:pivotFmt>
      <c:pivotFmt>
        <c:idx val="197"/>
        <c:dLbl>
          <c:idx val="0"/>
          <c:showLegendKey val="0"/>
          <c:showVal val="0"/>
          <c:showCatName val="0"/>
          <c:showSerName val="0"/>
          <c:showPercent val="0"/>
          <c:showBubbleSize val="0"/>
          <c:extLst>
            <c:ext xmlns:c15="http://schemas.microsoft.com/office/drawing/2012/chart" uri="{CE6537A1-D6FC-4f65-9D91-7224C49458BB}"/>
          </c:extLst>
        </c:dLbl>
      </c:pivotFmt>
      <c:pivotFmt>
        <c:idx val="198"/>
        <c:dLbl>
          <c:idx val="0"/>
          <c:showLegendKey val="0"/>
          <c:showVal val="0"/>
          <c:showCatName val="0"/>
          <c:showSerName val="0"/>
          <c:showPercent val="0"/>
          <c:showBubbleSize val="0"/>
          <c:extLst>
            <c:ext xmlns:c15="http://schemas.microsoft.com/office/drawing/2012/chart" uri="{CE6537A1-D6FC-4f65-9D91-7224C49458BB}"/>
          </c:extLst>
        </c:dLbl>
      </c:pivotFmt>
      <c:pivotFmt>
        <c:idx val="199"/>
        <c:dLbl>
          <c:idx val="0"/>
          <c:showLegendKey val="0"/>
          <c:showVal val="0"/>
          <c:showCatName val="0"/>
          <c:showSerName val="0"/>
          <c:showPercent val="0"/>
          <c:showBubbleSize val="0"/>
          <c:extLst>
            <c:ext xmlns:c15="http://schemas.microsoft.com/office/drawing/2012/chart" uri="{CE6537A1-D6FC-4f65-9D91-7224C49458BB}"/>
          </c:extLst>
        </c:dLbl>
      </c:pivotFmt>
      <c:pivotFmt>
        <c:idx val="200"/>
        <c:dLbl>
          <c:idx val="0"/>
          <c:showLegendKey val="0"/>
          <c:showVal val="0"/>
          <c:showCatName val="0"/>
          <c:showSerName val="0"/>
          <c:showPercent val="0"/>
          <c:showBubbleSize val="0"/>
          <c:extLst>
            <c:ext xmlns:c15="http://schemas.microsoft.com/office/drawing/2012/chart" uri="{CE6537A1-D6FC-4f65-9D91-7224C49458BB}"/>
          </c:extLst>
        </c:dLbl>
      </c:pivotFmt>
      <c:pivotFmt>
        <c:idx val="201"/>
        <c:dLbl>
          <c:idx val="0"/>
          <c:showLegendKey val="0"/>
          <c:showVal val="0"/>
          <c:showCatName val="0"/>
          <c:showSerName val="0"/>
          <c:showPercent val="0"/>
          <c:showBubbleSize val="0"/>
          <c:extLst>
            <c:ext xmlns:c15="http://schemas.microsoft.com/office/drawing/2012/chart" uri="{CE6537A1-D6FC-4f65-9D91-7224C49458BB}"/>
          </c:extLst>
        </c:dLbl>
      </c:pivotFmt>
      <c:pivotFmt>
        <c:idx val="202"/>
        <c:dLbl>
          <c:idx val="0"/>
          <c:showLegendKey val="0"/>
          <c:showVal val="0"/>
          <c:showCatName val="0"/>
          <c:showSerName val="0"/>
          <c:showPercent val="0"/>
          <c:showBubbleSize val="0"/>
          <c:extLst>
            <c:ext xmlns:c15="http://schemas.microsoft.com/office/drawing/2012/chart" uri="{CE6537A1-D6FC-4f65-9D91-7224C49458BB}"/>
          </c:extLst>
        </c:dLbl>
      </c:pivotFmt>
      <c:pivotFmt>
        <c:idx val="203"/>
        <c:dLbl>
          <c:idx val="0"/>
          <c:showLegendKey val="0"/>
          <c:showVal val="0"/>
          <c:showCatName val="0"/>
          <c:showSerName val="0"/>
          <c:showPercent val="0"/>
          <c:showBubbleSize val="0"/>
          <c:extLst>
            <c:ext xmlns:c15="http://schemas.microsoft.com/office/drawing/2012/chart" uri="{CE6537A1-D6FC-4f65-9D91-7224C49458BB}"/>
          </c:extLst>
        </c:dLbl>
      </c:pivotFmt>
      <c:pivotFmt>
        <c:idx val="204"/>
        <c:dLbl>
          <c:idx val="0"/>
          <c:showLegendKey val="0"/>
          <c:showVal val="0"/>
          <c:showCatName val="0"/>
          <c:showSerName val="0"/>
          <c:showPercent val="0"/>
          <c:showBubbleSize val="0"/>
          <c:extLst>
            <c:ext xmlns:c15="http://schemas.microsoft.com/office/drawing/2012/chart" uri="{CE6537A1-D6FC-4f65-9D91-7224C49458BB}"/>
          </c:extLst>
        </c:dLbl>
      </c:pivotFmt>
      <c:pivotFmt>
        <c:idx val="205"/>
        <c:dLbl>
          <c:idx val="0"/>
          <c:showLegendKey val="0"/>
          <c:showVal val="0"/>
          <c:showCatName val="0"/>
          <c:showSerName val="0"/>
          <c:showPercent val="0"/>
          <c:showBubbleSize val="0"/>
          <c:extLst>
            <c:ext xmlns:c15="http://schemas.microsoft.com/office/drawing/2012/chart" uri="{CE6537A1-D6FC-4f65-9D91-7224C49458BB}"/>
          </c:extLst>
        </c:dLbl>
      </c:pivotFmt>
      <c:pivotFmt>
        <c:idx val="206"/>
        <c:dLbl>
          <c:idx val="0"/>
          <c:showLegendKey val="0"/>
          <c:showVal val="0"/>
          <c:showCatName val="0"/>
          <c:showSerName val="0"/>
          <c:showPercent val="0"/>
          <c:showBubbleSize val="0"/>
          <c:extLst>
            <c:ext xmlns:c15="http://schemas.microsoft.com/office/drawing/2012/chart" uri="{CE6537A1-D6FC-4f65-9D91-7224C49458BB}"/>
          </c:extLst>
        </c:dLbl>
      </c:pivotFmt>
      <c:pivotFmt>
        <c:idx val="207"/>
        <c:dLbl>
          <c:idx val="0"/>
          <c:showLegendKey val="0"/>
          <c:showVal val="0"/>
          <c:showCatName val="0"/>
          <c:showSerName val="0"/>
          <c:showPercent val="0"/>
          <c:showBubbleSize val="0"/>
          <c:extLst>
            <c:ext xmlns:c15="http://schemas.microsoft.com/office/drawing/2012/chart" uri="{CE6537A1-D6FC-4f65-9D91-7224C49458BB}"/>
          </c:extLst>
        </c:dLbl>
      </c:pivotFmt>
      <c:pivotFmt>
        <c:idx val="208"/>
        <c:dLbl>
          <c:idx val="0"/>
          <c:showLegendKey val="0"/>
          <c:showVal val="0"/>
          <c:showCatName val="0"/>
          <c:showSerName val="0"/>
          <c:showPercent val="0"/>
          <c:showBubbleSize val="0"/>
          <c:extLst>
            <c:ext xmlns:c15="http://schemas.microsoft.com/office/drawing/2012/chart" uri="{CE6537A1-D6FC-4f65-9D91-7224C49458BB}"/>
          </c:extLst>
        </c:dLbl>
      </c:pivotFmt>
      <c:pivotFmt>
        <c:idx val="209"/>
        <c:dLbl>
          <c:idx val="0"/>
          <c:showLegendKey val="0"/>
          <c:showVal val="0"/>
          <c:showCatName val="0"/>
          <c:showSerName val="0"/>
          <c:showPercent val="0"/>
          <c:showBubbleSize val="0"/>
          <c:extLst>
            <c:ext xmlns:c15="http://schemas.microsoft.com/office/drawing/2012/chart" uri="{CE6537A1-D6FC-4f65-9D91-7224C49458BB}"/>
          </c:extLst>
        </c:dLbl>
      </c:pivotFmt>
      <c:pivotFmt>
        <c:idx val="210"/>
        <c:dLbl>
          <c:idx val="0"/>
          <c:showLegendKey val="0"/>
          <c:showVal val="0"/>
          <c:showCatName val="0"/>
          <c:showSerName val="0"/>
          <c:showPercent val="0"/>
          <c:showBubbleSize val="0"/>
          <c:extLst>
            <c:ext xmlns:c15="http://schemas.microsoft.com/office/drawing/2012/chart" uri="{CE6537A1-D6FC-4f65-9D91-7224C49458BB}"/>
          </c:extLst>
        </c:dLbl>
      </c:pivotFmt>
      <c:pivotFmt>
        <c:idx val="211"/>
        <c:dLbl>
          <c:idx val="0"/>
          <c:showLegendKey val="0"/>
          <c:showVal val="0"/>
          <c:showCatName val="0"/>
          <c:showSerName val="0"/>
          <c:showPercent val="0"/>
          <c:showBubbleSize val="0"/>
          <c:extLst>
            <c:ext xmlns:c15="http://schemas.microsoft.com/office/drawing/2012/chart" uri="{CE6537A1-D6FC-4f65-9D91-7224C49458BB}"/>
          </c:extLst>
        </c:dLbl>
      </c:pivotFmt>
      <c:pivotFmt>
        <c:idx val="212"/>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5"/>
        <c:spPr>
          <a:ln w="31750"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barChart>
        <c:barDir val="col"/>
        <c:grouping val="clustered"/>
        <c:varyColors val="0"/>
        <c:ser>
          <c:idx val="0"/>
          <c:order val="0"/>
          <c:tx>
            <c:strRef>
              <c:f>TCD!$C$78</c:f>
              <c:strCache>
                <c:ptCount val="1"/>
                <c:pt idx="0">
                  <c:v>Somme de Ventes Générées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TCD!$B$79:$B$84</c:f>
              <c:strCache>
                <c:ptCount val="5"/>
                <c:pt idx="0">
                  <c:v>Beauté</c:v>
                </c:pt>
                <c:pt idx="1">
                  <c:v>Fitness</c:v>
                </c:pt>
                <c:pt idx="2">
                  <c:v>Lifestyle</c:v>
                </c:pt>
                <c:pt idx="3">
                  <c:v>Mode</c:v>
                </c:pt>
                <c:pt idx="4">
                  <c:v>Santé</c:v>
                </c:pt>
              </c:strCache>
            </c:strRef>
          </c:cat>
          <c:val>
            <c:numRef>
              <c:f>TCD!$C$79:$C$84</c:f>
              <c:numCache>
                <c:formatCode>#,##0\ [$€-40C]</c:formatCode>
                <c:ptCount val="5"/>
                <c:pt idx="0">
                  <c:v>294810</c:v>
                </c:pt>
                <c:pt idx="1">
                  <c:v>188467</c:v>
                </c:pt>
                <c:pt idx="2">
                  <c:v>405530</c:v>
                </c:pt>
                <c:pt idx="3">
                  <c:v>259371</c:v>
                </c:pt>
                <c:pt idx="4">
                  <c:v>321875</c:v>
                </c:pt>
              </c:numCache>
            </c:numRef>
          </c:val>
          <c:extLst>
            <c:ext xmlns:c16="http://schemas.microsoft.com/office/drawing/2014/chart" uri="{C3380CC4-5D6E-409C-BE32-E72D297353CC}">
              <c16:uniqueId val="{000000D3-55C1-43FB-9D4E-C5283D60097E}"/>
            </c:ext>
          </c:extLst>
        </c:ser>
        <c:dLbls>
          <c:showLegendKey val="0"/>
          <c:showVal val="0"/>
          <c:showCatName val="0"/>
          <c:showSerName val="0"/>
          <c:showPercent val="0"/>
          <c:showBubbleSize val="0"/>
        </c:dLbls>
        <c:gapWidth val="75"/>
        <c:axId val="1650432767"/>
        <c:axId val="1650423167"/>
      </c:barChart>
      <c:lineChart>
        <c:grouping val="standard"/>
        <c:varyColors val="0"/>
        <c:ser>
          <c:idx val="1"/>
          <c:order val="1"/>
          <c:tx>
            <c:strRef>
              <c:f>TCD!$D$78</c:f>
              <c:strCache>
                <c:ptCount val="1"/>
                <c:pt idx="0">
                  <c:v>Moyenne de ROI (%)</c:v>
                </c:pt>
              </c:strCache>
            </c:strRef>
          </c:tx>
          <c:spPr>
            <a:ln w="31750" cap="rnd">
              <a:solidFill>
                <a:schemeClr val="accent2"/>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TCD!$B$79:$B$84</c:f>
              <c:strCache>
                <c:ptCount val="5"/>
                <c:pt idx="0">
                  <c:v>Beauté</c:v>
                </c:pt>
                <c:pt idx="1">
                  <c:v>Fitness</c:v>
                </c:pt>
                <c:pt idx="2">
                  <c:v>Lifestyle</c:v>
                </c:pt>
                <c:pt idx="3">
                  <c:v>Mode</c:v>
                </c:pt>
                <c:pt idx="4">
                  <c:v>Santé</c:v>
                </c:pt>
              </c:strCache>
            </c:strRef>
          </c:cat>
          <c:val>
            <c:numRef>
              <c:f>TCD!$D$79:$D$84</c:f>
              <c:numCache>
                <c:formatCode>0%</c:formatCode>
                <c:ptCount val="5"/>
                <c:pt idx="0">
                  <c:v>1.701840329960548</c:v>
                </c:pt>
                <c:pt idx="1">
                  <c:v>1.2948473801546858</c:v>
                </c:pt>
                <c:pt idx="2">
                  <c:v>1.7252060724249725</c:v>
                </c:pt>
                <c:pt idx="3">
                  <c:v>1.2802127021201251</c:v>
                </c:pt>
                <c:pt idx="4">
                  <c:v>1.9620465207154063</c:v>
                </c:pt>
              </c:numCache>
            </c:numRef>
          </c:val>
          <c:smooth val="0"/>
          <c:extLst>
            <c:ext xmlns:c16="http://schemas.microsoft.com/office/drawing/2014/chart" uri="{C3380CC4-5D6E-409C-BE32-E72D297353CC}">
              <c16:uniqueId val="{000000D6-55C1-43FB-9D4E-C5283D60097E}"/>
            </c:ext>
          </c:extLst>
        </c:ser>
        <c:dLbls>
          <c:showLegendKey val="0"/>
          <c:showVal val="0"/>
          <c:showCatName val="0"/>
          <c:showSerName val="0"/>
          <c:showPercent val="0"/>
          <c:showBubbleSize val="0"/>
        </c:dLbls>
        <c:marker val="1"/>
        <c:smooth val="0"/>
        <c:axId val="1837849439"/>
        <c:axId val="1837848959"/>
      </c:lineChart>
      <c:catAx>
        <c:axId val="1650432767"/>
        <c:scaling>
          <c:orientation val="minMax"/>
        </c:scaling>
        <c:delete val="0"/>
        <c:axPos val="b"/>
        <c:numFmt formatCode="General" sourceLinked="1"/>
        <c:majorTickMark val="none"/>
        <c:minorTickMark val="out"/>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1650423167"/>
        <c:crosses val="autoZero"/>
        <c:auto val="0"/>
        <c:lblAlgn val="ctr"/>
        <c:lblOffset val="100"/>
        <c:noMultiLvlLbl val="0"/>
      </c:catAx>
      <c:valAx>
        <c:axId val="1650423167"/>
        <c:scaling>
          <c:orientation val="minMax"/>
        </c:scaling>
        <c:delete val="0"/>
        <c:axPos val="l"/>
        <c:numFmt formatCode="#,##0\ [$€-40C]"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1650432767"/>
        <c:crosses val="autoZero"/>
        <c:crossBetween val="between"/>
      </c:valAx>
      <c:valAx>
        <c:axId val="183784895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1837849439"/>
        <c:crosses val="max"/>
        <c:crossBetween val="between"/>
      </c:valAx>
      <c:catAx>
        <c:axId val="1837849439"/>
        <c:scaling>
          <c:orientation val="minMax"/>
        </c:scaling>
        <c:delete val="1"/>
        <c:axPos val="b"/>
        <c:numFmt formatCode="General" sourceLinked="1"/>
        <c:majorTickMark val="out"/>
        <c:minorTickMark val="none"/>
        <c:tickLblPos val="nextTo"/>
        <c:crossAx val="18378489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[Donnees_Campagnes_Publicitaires_Exam_Module1_Vincent Dotigny.xlsx]TCD!Tableau croisé dynamique8</c:name>
    <c:fmtId val="2"/>
  </c:pivotSource>
  <c:chart>
    <c:title>
      <c:tx>
        <c:rich>
          <a:bodyPr rot="0" spcFirstLastPara="1" vertOverflow="ellipsis" vert="horz" wrap="square" anchor="ctr" anchorCtr="1"/>
          <a:lstStyle/>
          <a:p>
            <a:pPr>
              <a:defRPr sz="1600" b="1" i="0" u="sng" strike="noStrike" kern="1200" spc="0" baseline="0">
                <a:ln>
                  <a:noFill/>
                </a:ln>
                <a:solidFill>
                  <a:schemeClr val="bg1"/>
                </a:solidFill>
                <a:latin typeface="+mn-lt"/>
                <a:ea typeface="+mn-ea"/>
                <a:cs typeface="+mn-cs"/>
              </a:defRPr>
            </a:pPr>
            <a:r>
              <a:rPr lang="en-US" sz="1600" b="1" u="sng">
                <a:ln>
                  <a:noFill/>
                </a:ln>
                <a:solidFill>
                  <a:schemeClr val="bg1"/>
                </a:solidFill>
              </a:rPr>
              <a:t>Ventes</a:t>
            </a:r>
            <a:r>
              <a:rPr lang="en-US" sz="1600" b="1" u="sng" baseline="0">
                <a:ln>
                  <a:noFill/>
                </a:ln>
                <a:solidFill>
                  <a:schemeClr val="bg1"/>
                </a:solidFill>
              </a:rPr>
              <a:t> totales générées par réseau social</a:t>
            </a:r>
            <a:endParaRPr lang="en-US" sz="1600" b="1" u="sng">
              <a:ln>
                <a:noFill/>
              </a:ln>
              <a:solidFill>
                <a:schemeClr val="bg1"/>
              </a:solidFill>
            </a:endParaRPr>
          </a:p>
        </c:rich>
      </c:tx>
      <c:overlay val="0"/>
      <c:spPr>
        <a:noFill/>
        <a:ln>
          <a:noFill/>
        </a:ln>
        <a:effectLst/>
      </c:spPr>
      <c:txPr>
        <a:bodyPr rot="0" spcFirstLastPara="1" vertOverflow="ellipsis" vert="horz" wrap="square" anchor="ctr" anchorCtr="1"/>
        <a:lstStyle/>
        <a:p>
          <a:pPr>
            <a:defRPr sz="1600" b="1" i="0" u="sng" strike="noStrike" kern="1200" spc="0" baseline="0">
              <a:ln>
                <a:noFill/>
              </a:ln>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sp3d/>
        </c:spPr>
        <c:marker>
          <c:symbol val="none"/>
        </c:marker>
        <c:dLbl>
          <c:idx val="0"/>
          <c:spPr>
            <a:solidFill>
              <a:schemeClr val="tx1"/>
            </a:solidFill>
            <a:ln>
              <a:noFill/>
            </a:ln>
            <a:effectLst/>
          </c:spPr>
          <c:txPr>
            <a:bodyPr rot="0" spcFirstLastPara="1" vertOverflow="overflow" horzOverflow="overflow" vert="horz" wrap="none" lIns="0" tIns="0" rIns="0" bIns="0" anchor="t" anchorCtr="0">
              <a:noAutofit/>
            </a:bodyPr>
            <a:lstStyle/>
            <a:p>
              <a:pPr>
                <a:defRPr sz="800" b="0"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a:sp3d/>
        </c:spPr>
        <c:dLbl>
          <c:idx val="0"/>
          <c:layout>
            <c:manualLayout>
              <c:x val="-2.1097042908893499E-3"/>
              <c:y val="8.1871345029239692E-2"/>
            </c:manualLayout>
          </c:layout>
          <c:spPr>
            <a:noFill/>
            <a:ln>
              <a:noFill/>
            </a:ln>
            <a:effectLst/>
          </c:spPr>
          <c:txPr>
            <a:bodyPr rot="0" spcFirstLastPara="1" vertOverflow="overflow" horzOverflow="overflow" vert="horz" wrap="none" lIns="0" tIns="0" rIns="0" bIns="0" anchor="t" anchorCtr="0">
              <a:noAutofit/>
            </a:bodyPr>
            <a:lstStyle/>
            <a:p>
              <a:pPr>
                <a:defRPr sz="8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15:layout>
                <c:manualLayout>
                  <c:w val="8.85864831744438E-2"/>
                  <c:h val="5.4522570643581833E-2"/>
                </c:manualLayout>
              </c15:layout>
            </c:ext>
          </c:extLst>
        </c:dLbl>
      </c:pivotFmt>
      <c:pivotFmt>
        <c:idx val="4"/>
        <c:spPr>
          <a:solidFill>
            <a:srgbClr val="FFC000"/>
          </a:solidFill>
          <a:ln>
            <a:noFill/>
          </a:ln>
          <a:effectLst/>
          <a:sp3d/>
        </c:spPr>
        <c:dLbl>
          <c:idx val="0"/>
          <c:layout>
            <c:manualLayout>
              <c:x val="0"/>
              <c:y val="8.5769980506822607E-2"/>
            </c:manualLayout>
          </c:layout>
          <c:spPr>
            <a:noFill/>
            <a:ln>
              <a:noFill/>
            </a:ln>
            <a:effectLst/>
          </c:spPr>
          <c:txPr>
            <a:bodyPr rot="0" spcFirstLastPara="1" vertOverflow="overflow" horzOverflow="overflow" vert="horz" wrap="none" lIns="0" tIns="0" rIns="0" bIns="0" anchor="t" anchorCtr="0">
              <a:noAutofit/>
            </a:bodyPr>
            <a:lstStyle/>
            <a:p>
              <a:pPr algn="ctr" rtl="0">
                <a:defRPr lang="en-US" sz="8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15:layout>
                <c:manualLayout>
                  <c:w val="8.85864831744438E-2"/>
                  <c:h val="5.4522570643581833E-2"/>
                </c:manualLayout>
              </c15:layout>
            </c:ext>
          </c:extLst>
        </c:dLbl>
      </c:pivotFmt>
      <c:pivotFmt>
        <c:idx val="5"/>
        <c:spPr>
          <a:solidFill>
            <a:srgbClr val="FFC000"/>
          </a:solidFill>
          <a:ln>
            <a:noFill/>
          </a:ln>
          <a:effectLst/>
          <a:sp3d/>
        </c:spPr>
        <c:dLbl>
          <c:idx val="0"/>
          <c:layout>
            <c:manualLayout>
              <c:x val="0"/>
              <c:y val="8.5769980506822538E-2"/>
            </c:manualLayout>
          </c:layout>
          <c:spPr>
            <a:noFill/>
            <a:ln>
              <a:noFill/>
            </a:ln>
            <a:effectLst/>
          </c:spPr>
          <c:txPr>
            <a:bodyPr rot="0" spcFirstLastPara="1" vertOverflow="clip" horzOverflow="clip" vert="horz" wrap="none" lIns="0" tIns="0" rIns="0" bIns="0" anchor="t" anchorCtr="0">
              <a:spAutoFit/>
            </a:bodyPr>
            <a:lstStyle/>
            <a:p>
              <a:pPr algn="ctr" rtl="0">
                <a:defRPr lang="en-US" sz="8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128134986016142"/>
          <c:y val="0.21081481481481482"/>
          <c:w val="0.79389000046311964"/>
          <c:h val="0.62880684358899586"/>
        </c:manualLayout>
      </c:layout>
      <c:bar3DChart>
        <c:barDir val="col"/>
        <c:grouping val="clustered"/>
        <c:varyColors val="0"/>
        <c:ser>
          <c:idx val="0"/>
          <c:order val="0"/>
          <c:tx>
            <c:strRef>
              <c:f>TCD!$C$19</c:f>
              <c:strCache>
                <c:ptCount val="1"/>
                <c:pt idx="0">
                  <c:v>Total</c:v>
                </c:pt>
              </c:strCache>
            </c:strRef>
          </c:tx>
          <c:spPr>
            <a:solidFill>
              <a:srgbClr val="FFC000"/>
            </a:solidFill>
            <a:ln>
              <a:noFill/>
            </a:ln>
            <a:effectLst/>
            <a:sp3d/>
          </c:spPr>
          <c:invertIfNegative val="0"/>
          <c:dPt>
            <c:idx val="0"/>
            <c:invertIfNegative val="0"/>
            <c:bubble3D val="0"/>
            <c:spPr>
              <a:solidFill>
                <a:srgbClr val="FFC000"/>
              </a:solidFill>
              <a:ln>
                <a:noFill/>
              </a:ln>
              <a:effectLst/>
              <a:sp3d/>
            </c:spPr>
            <c:extLst>
              <c:ext xmlns:c16="http://schemas.microsoft.com/office/drawing/2014/chart" uri="{C3380CC4-5D6E-409C-BE32-E72D297353CC}">
                <c16:uniqueId val="{00000001-DA83-4806-8412-5EAE98CA1AD2}"/>
              </c:ext>
            </c:extLst>
          </c:dPt>
          <c:dPt>
            <c:idx val="1"/>
            <c:invertIfNegative val="0"/>
            <c:bubble3D val="0"/>
            <c:spPr>
              <a:solidFill>
                <a:srgbClr val="FFC000"/>
              </a:solidFill>
              <a:ln>
                <a:noFill/>
              </a:ln>
              <a:effectLst/>
              <a:sp3d/>
            </c:spPr>
            <c:extLst>
              <c:ext xmlns:c16="http://schemas.microsoft.com/office/drawing/2014/chart" uri="{C3380CC4-5D6E-409C-BE32-E72D297353CC}">
                <c16:uniqueId val="{00000002-DA83-4806-8412-5EAE98CA1AD2}"/>
              </c:ext>
            </c:extLst>
          </c:dPt>
          <c:dPt>
            <c:idx val="2"/>
            <c:invertIfNegative val="0"/>
            <c:bubble3D val="0"/>
            <c:spPr>
              <a:solidFill>
                <a:srgbClr val="FFC000"/>
              </a:solidFill>
              <a:ln>
                <a:noFill/>
              </a:ln>
              <a:effectLst/>
              <a:sp3d/>
            </c:spPr>
            <c:extLst>
              <c:ext xmlns:c16="http://schemas.microsoft.com/office/drawing/2014/chart" uri="{C3380CC4-5D6E-409C-BE32-E72D297353CC}">
                <c16:uniqueId val="{00000003-DA83-4806-8412-5EAE98CA1AD2}"/>
              </c:ext>
            </c:extLst>
          </c:dPt>
          <c:dLbls>
            <c:dLbl>
              <c:idx val="0"/>
              <c:layout>
                <c:manualLayout>
                  <c:x val="-2.1097042908893499E-3"/>
                  <c:y val="8.1871345029239692E-2"/>
                </c:manualLayout>
              </c:layout>
              <c:spPr>
                <a:noFill/>
                <a:ln>
                  <a:noFill/>
                </a:ln>
                <a:effectLst/>
              </c:spPr>
              <c:txPr>
                <a:bodyPr rot="0" spcFirstLastPara="1" vertOverflow="overflow" horzOverflow="overflow" vert="horz" wrap="none" lIns="0" tIns="0" rIns="0" bIns="0" anchor="t" anchorCtr="0">
                  <a:noAutofit/>
                </a:bodyPr>
                <a:lstStyle/>
                <a:p>
                  <a:pPr>
                    <a:defRPr sz="8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15:layout>
                    <c:manualLayout>
                      <c:w val="8.85864831744438E-2"/>
                      <c:h val="5.4522570643581833E-2"/>
                    </c:manualLayout>
                  </c15:layout>
                </c:ext>
                <c:ext xmlns:c16="http://schemas.microsoft.com/office/drawing/2014/chart" uri="{C3380CC4-5D6E-409C-BE32-E72D297353CC}">
                  <c16:uniqueId val="{00000001-DA83-4806-8412-5EAE98CA1AD2}"/>
                </c:ext>
              </c:extLst>
            </c:dLbl>
            <c:dLbl>
              <c:idx val="1"/>
              <c:layout>
                <c:manualLayout>
                  <c:x val="0"/>
                  <c:y val="8.5769980506822607E-2"/>
                </c:manualLayout>
              </c:layout>
              <c:spPr>
                <a:noFill/>
                <a:ln>
                  <a:noFill/>
                </a:ln>
                <a:effectLst/>
              </c:spPr>
              <c:txPr>
                <a:bodyPr rot="0" spcFirstLastPara="1" vertOverflow="overflow" horzOverflow="overflow" vert="horz" wrap="none" lIns="0" tIns="0" rIns="0" bIns="0" anchor="t" anchorCtr="0">
                  <a:noAutofit/>
                </a:bodyPr>
                <a:lstStyle/>
                <a:p>
                  <a:pPr algn="ctr" rtl="0">
                    <a:defRPr lang="en-US" sz="8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15:layout>
                    <c:manualLayout>
                      <c:w val="8.85864831744438E-2"/>
                      <c:h val="5.4522570643581833E-2"/>
                    </c:manualLayout>
                  </c15:layout>
                </c:ext>
                <c:ext xmlns:c16="http://schemas.microsoft.com/office/drawing/2014/chart" uri="{C3380CC4-5D6E-409C-BE32-E72D297353CC}">
                  <c16:uniqueId val="{00000002-DA83-4806-8412-5EAE98CA1AD2}"/>
                </c:ext>
              </c:extLst>
            </c:dLbl>
            <c:dLbl>
              <c:idx val="2"/>
              <c:layout>
                <c:manualLayout>
                  <c:x val="0"/>
                  <c:y val="8.5769980506822538E-2"/>
                </c:manualLayout>
              </c:layout>
              <c:spPr>
                <a:noFill/>
                <a:ln>
                  <a:noFill/>
                </a:ln>
                <a:effectLst/>
              </c:spPr>
              <c:txPr>
                <a:bodyPr rot="0" spcFirstLastPara="1" vertOverflow="clip" horzOverflow="clip" vert="horz" wrap="none" lIns="0" tIns="0" rIns="0" bIns="0" anchor="t" anchorCtr="0">
                  <a:spAutoFit/>
                </a:bodyPr>
                <a:lstStyle/>
                <a:p>
                  <a:pPr algn="ctr" rtl="0">
                    <a:defRPr lang="en-US" sz="8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3-DA83-4806-8412-5EAE98CA1AD2}"/>
                </c:ext>
              </c:extLst>
            </c:dLbl>
            <c:spPr>
              <a:solidFill>
                <a:schemeClr val="tx1"/>
              </a:solidFill>
              <a:ln>
                <a:noFill/>
              </a:ln>
              <a:effectLst/>
            </c:spPr>
            <c:txPr>
              <a:bodyPr rot="0" spcFirstLastPara="1" vertOverflow="overflow" horzOverflow="overflow" vert="horz" wrap="none" lIns="0" tIns="0" rIns="0" bIns="0" anchor="t" anchorCtr="0">
                <a:noAutofit/>
              </a:bodyPr>
              <a:lstStyle/>
              <a:p>
                <a:pPr>
                  <a:defRPr sz="800" b="0"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TCD!$B$20:$B$23</c:f>
              <c:strCache>
                <c:ptCount val="3"/>
                <c:pt idx="0">
                  <c:v>Facebook</c:v>
                </c:pt>
                <c:pt idx="1">
                  <c:v>Instagram</c:v>
                </c:pt>
                <c:pt idx="2">
                  <c:v>Twitter</c:v>
                </c:pt>
              </c:strCache>
            </c:strRef>
          </c:cat>
          <c:val>
            <c:numRef>
              <c:f>TCD!$C$20:$C$23</c:f>
              <c:numCache>
                <c:formatCode>#,##0\ [$€-40C]</c:formatCode>
                <c:ptCount val="3"/>
                <c:pt idx="0">
                  <c:v>497803</c:v>
                </c:pt>
                <c:pt idx="1">
                  <c:v>561028</c:v>
                </c:pt>
                <c:pt idx="2">
                  <c:v>411222</c:v>
                </c:pt>
              </c:numCache>
            </c:numRef>
          </c:val>
          <c:extLst>
            <c:ext xmlns:c16="http://schemas.microsoft.com/office/drawing/2014/chart" uri="{C3380CC4-5D6E-409C-BE32-E72D297353CC}">
              <c16:uniqueId val="{00000000-DA83-4806-8412-5EAE98CA1AD2}"/>
            </c:ext>
          </c:extLst>
        </c:ser>
        <c:dLbls>
          <c:showLegendKey val="0"/>
          <c:showVal val="0"/>
          <c:showCatName val="0"/>
          <c:showSerName val="0"/>
          <c:showPercent val="0"/>
          <c:showBubbleSize val="0"/>
        </c:dLbls>
        <c:gapWidth val="150"/>
        <c:shape val="box"/>
        <c:axId val="1164117584"/>
        <c:axId val="1164118064"/>
        <c:axId val="0"/>
      </c:bar3DChart>
      <c:catAx>
        <c:axId val="1164117584"/>
        <c:scaling>
          <c:orientation val="minMax"/>
        </c:scaling>
        <c:delete val="0"/>
        <c:axPos val="b"/>
        <c:numFmt formatCode="General" sourceLinked="1"/>
        <c:majorTickMark val="none"/>
        <c:minorTickMark val="none"/>
        <c:tickLblPos val="nextTo"/>
        <c:spPr>
          <a:noFill/>
          <a:ln>
            <a:noFill/>
          </a:ln>
          <a:effectLst/>
        </c:spPr>
        <c:txPr>
          <a:bodyPr rot="0" spcFirstLastPara="1" vertOverflow="ellipsis" wrap="square" anchor="b" anchorCtr="1"/>
          <a:lstStyle/>
          <a:p>
            <a:pPr>
              <a:defRPr sz="1400" b="0" i="0" u="none" strike="noStrike" kern="1200" baseline="0">
                <a:solidFill>
                  <a:schemeClr val="bg1"/>
                </a:solidFill>
                <a:latin typeface="+mn-lt"/>
                <a:ea typeface="+mn-ea"/>
                <a:cs typeface="+mn-cs"/>
              </a:defRPr>
            </a:pPr>
            <a:endParaRPr lang="fr-FR"/>
          </a:p>
        </c:txPr>
        <c:crossAx val="1164118064"/>
        <c:crosses val="autoZero"/>
        <c:auto val="1"/>
        <c:lblAlgn val="ctr"/>
        <c:lblOffset val="100"/>
        <c:noMultiLvlLbl val="0"/>
      </c:catAx>
      <c:valAx>
        <c:axId val="1164118064"/>
        <c:scaling>
          <c:orientation val="minMax"/>
        </c:scaling>
        <c:delete val="0"/>
        <c:axPos val="l"/>
        <c:majorGridlines>
          <c:spPr>
            <a:ln w="9525" cap="flat" cmpd="sng" algn="ctr">
              <a:solidFill>
                <a:schemeClr val="tx1">
                  <a:lumMod val="15000"/>
                  <a:lumOff val="85000"/>
                </a:schemeClr>
              </a:solidFill>
              <a:round/>
            </a:ln>
            <a:effectLst/>
          </c:spPr>
        </c:majorGridlines>
        <c:numFmt formatCode="#,##0\ [$€-40C]"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ln>
                  <a:noFill/>
                </a:ln>
                <a:solidFill>
                  <a:schemeClr val="bg1"/>
                </a:solidFill>
                <a:latin typeface="+mn-lt"/>
                <a:ea typeface="+mn-ea"/>
                <a:cs typeface="+mn-cs"/>
              </a:defRPr>
            </a:pPr>
            <a:endParaRPr lang="fr-FR"/>
          </a:p>
        </c:txPr>
        <c:crossAx val="1164117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765023"/>
    </a:solid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[Donnees_Campagnes_Publicitaires_Exam_Module1_Vincent Dotigny.xlsx]TCD!Tableau croisé dynamique9</c:name>
    <c:fmtId val="9"/>
  </c:pivotSource>
  <c:chart>
    <c:title>
      <c:tx>
        <c:rich>
          <a:bodyPr rot="0" spcFirstLastPara="1" vertOverflow="ellipsis" vert="horz" wrap="square" anchor="ctr" anchorCtr="1"/>
          <a:lstStyle/>
          <a:p>
            <a:pPr algn="ctr" rtl="0">
              <a:defRPr lang="en-US" sz="1400" b="1" i="0" u="sng" strike="noStrike" kern="1200" spc="0" baseline="0">
                <a:ln>
                  <a:noFill/>
                </a:ln>
                <a:solidFill>
                  <a:schemeClr val="bg1"/>
                </a:solidFill>
                <a:latin typeface="+mn-lt"/>
                <a:ea typeface="+mn-ea"/>
                <a:cs typeface="+mn-cs"/>
              </a:defRPr>
            </a:pPr>
            <a:r>
              <a:rPr lang="en-US" sz="1400" b="1" i="0" u="sng" strike="noStrike" kern="1200" spc="0" baseline="0">
                <a:ln>
                  <a:noFill/>
                </a:ln>
                <a:solidFill>
                  <a:schemeClr val="bg1"/>
                </a:solidFill>
                <a:latin typeface="+mn-lt"/>
                <a:ea typeface="+mn-ea"/>
                <a:cs typeface="+mn-cs"/>
              </a:rPr>
              <a:t>ROI Moyen par Réseau Social</a:t>
            </a:r>
          </a:p>
        </c:rich>
      </c:tx>
      <c:overlay val="0"/>
      <c:spPr>
        <a:solidFill>
          <a:srgbClr val="765023"/>
        </a:solidFill>
        <a:ln>
          <a:noFill/>
        </a:ln>
        <a:effectLst/>
      </c:spPr>
      <c:txPr>
        <a:bodyPr rot="0" spcFirstLastPara="1" vertOverflow="ellipsis" vert="horz" wrap="square" anchor="ctr" anchorCtr="1"/>
        <a:lstStyle/>
        <a:p>
          <a:pPr algn="ctr" rtl="0">
            <a:defRPr lang="en-US" sz="1400" b="1" i="0" u="sng" strike="noStrike" kern="1200" spc="0" baseline="0">
              <a:ln>
                <a:noFill/>
              </a:ln>
              <a:solidFill>
                <a:schemeClr val="bg1"/>
              </a:solidFill>
              <a:latin typeface="+mn-lt"/>
              <a:ea typeface="+mn-ea"/>
              <a:cs typeface="+mn-cs"/>
            </a:defRPr>
          </a:pPr>
          <a:endParaRPr lang="fr-FR"/>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TCD!$H$19</c:f>
              <c:strCache>
                <c:ptCount val="1"/>
                <c:pt idx="0">
                  <c:v>Total</c:v>
                </c:pt>
              </c:strCache>
            </c:strRef>
          </c:tx>
          <c:spPr>
            <a:solidFill>
              <a:srgbClr val="FFC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TCD!$G$20:$G$23</c:f>
              <c:strCache>
                <c:ptCount val="3"/>
                <c:pt idx="0">
                  <c:v>Facebook</c:v>
                </c:pt>
                <c:pt idx="1">
                  <c:v>Instagram</c:v>
                </c:pt>
                <c:pt idx="2">
                  <c:v>Twitter</c:v>
                </c:pt>
              </c:strCache>
            </c:strRef>
          </c:cat>
          <c:val>
            <c:numRef>
              <c:f>TCD!$H$20:$H$23</c:f>
              <c:numCache>
                <c:formatCode>0.00%</c:formatCode>
                <c:ptCount val="3"/>
                <c:pt idx="0">
                  <c:v>1.610355799759722</c:v>
                </c:pt>
                <c:pt idx="1">
                  <c:v>1.4655933911004675</c:v>
                </c:pt>
                <c:pt idx="2">
                  <c:v>1.849753125553353</c:v>
                </c:pt>
              </c:numCache>
            </c:numRef>
          </c:val>
          <c:extLst>
            <c:ext xmlns:c16="http://schemas.microsoft.com/office/drawing/2014/chart" uri="{C3380CC4-5D6E-409C-BE32-E72D297353CC}">
              <c16:uniqueId val="{00000000-B7BC-47BF-910C-340AF6FD1862}"/>
            </c:ext>
          </c:extLst>
        </c:ser>
        <c:dLbls>
          <c:showLegendKey val="0"/>
          <c:showVal val="0"/>
          <c:showCatName val="0"/>
          <c:showSerName val="0"/>
          <c:showPercent val="0"/>
          <c:showBubbleSize val="0"/>
        </c:dLbls>
        <c:gapWidth val="150"/>
        <c:shape val="box"/>
        <c:axId val="1164011024"/>
        <c:axId val="1164003344"/>
        <c:axId val="0"/>
      </c:bar3DChart>
      <c:catAx>
        <c:axId val="1164011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fr-FR"/>
          </a:p>
        </c:txPr>
        <c:crossAx val="1164003344"/>
        <c:crosses val="autoZero"/>
        <c:auto val="1"/>
        <c:lblAlgn val="ctr"/>
        <c:lblOffset val="100"/>
        <c:noMultiLvlLbl val="0"/>
      </c:catAx>
      <c:valAx>
        <c:axId val="1164003344"/>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164011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765023"/>
    </a:solid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[Donnees_Campagnes_Publicitaires_Exam_Module1_Vincent Dotigny.xlsx]TCD!Tableau croisé dynamique10</c:name>
    <c:fmtId val="4"/>
  </c:pivotSource>
  <c:chart>
    <c:title>
      <c:tx>
        <c:rich>
          <a:bodyPr rot="0" spcFirstLastPara="1" vertOverflow="ellipsis" vert="horz" wrap="square" anchor="ctr" anchorCtr="1"/>
          <a:lstStyle/>
          <a:p>
            <a:pPr>
              <a:defRPr lang="fr-FR" sz="1200" b="1" i="0" u="sng" strike="noStrike" kern="1200" cap="all" spc="0" normalizeH="0" baseline="0">
                <a:ln>
                  <a:noFill/>
                </a:ln>
                <a:solidFill>
                  <a:schemeClr val="bg1"/>
                </a:solidFill>
                <a:latin typeface="+mn-lt"/>
                <a:ea typeface="+mn-ea"/>
                <a:cs typeface="+mn-cs"/>
              </a:defRPr>
            </a:pPr>
            <a:r>
              <a:rPr lang="fr-FR" sz="1200" b="1" i="0" u="sng" strike="noStrike" kern="1200" cap="all" spc="0" normalizeH="0" baseline="0">
                <a:ln>
                  <a:noFill/>
                </a:ln>
                <a:solidFill>
                  <a:schemeClr val="bg1"/>
                </a:solidFill>
                <a:latin typeface="+mn-lt"/>
                <a:ea typeface="+mn-ea"/>
                <a:cs typeface="+mn-cs"/>
              </a:rPr>
              <a:t>Ventes totales par sexe</a:t>
            </a:r>
          </a:p>
        </c:rich>
      </c:tx>
      <c:overlay val="0"/>
      <c:spPr>
        <a:noFill/>
        <a:ln>
          <a:noFill/>
        </a:ln>
        <a:effectLst/>
      </c:spPr>
      <c:txPr>
        <a:bodyPr rot="0" spcFirstLastPara="1" vertOverflow="ellipsis" vert="horz" wrap="square" anchor="ctr" anchorCtr="1"/>
        <a:lstStyle/>
        <a:p>
          <a:pPr>
            <a:defRPr lang="fr-FR" sz="1200" b="1" i="0" u="sng" strike="noStrike" kern="1200" cap="all" spc="0" normalizeH="0" baseline="0">
              <a:ln>
                <a:noFill/>
              </a:ln>
              <a:solidFill>
                <a:schemeClr val="bg1"/>
              </a:solidFill>
              <a:latin typeface="+mn-lt"/>
              <a:ea typeface="+mn-ea"/>
              <a:cs typeface="+mn-cs"/>
            </a:defRPr>
          </a:pPr>
          <a:endParaRPr lang="fr-FR"/>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fr-FR"/>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15:layout>
                <c:manualLayout>
                  <c:w val="0.17887113951011716"/>
                  <c:h val="7.7372278672634798E-2"/>
                </c:manualLayout>
              </c15:layout>
            </c:ext>
          </c:extLst>
        </c:dLbl>
      </c:pivotFmt>
      <c:pivotFmt>
        <c:idx val="16"/>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15:layout>
                <c:manualLayout>
                  <c:w val="0.17887113951011716"/>
                  <c:h val="7.7372278672634798E-2"/>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TCD!$C$43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C-FC2E-4846-A657-F205991A182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B-FC2E-4846-A657-F205991A1824}"/>
              </c:ext>
            </c:extLst>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17887113951011716"/>
                      <c:h val="7.7372278672634798E-2"/>
                    </c:manualLayout>
                  </c15:layout>
                </c:ext>
                <c:ext xmlns:c16="http://schemas.microsoft.com/office/drawing/2014/chart" uri="{C3380CC4-5D6E-409C-BE32-E72D297353CC}">
                  <c16:uniqueId val="{0000000C-FC2E-4846-A657-F205991A1824}"/>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0.17887113951011716"/>
                      <c:h val="7.7372278672634798E-2"/>
                    </c:manualLayout>
                  </c15:layout>
                </c:ext>
                <c:ext xmlns:c16="http://schemas.microsoft.com/office/drawing/2014/chart" uri="{C3380CC4-5D6E-409C-BE32-E72D297353CC}">
                  <c16:uniqueId val="{0000000B-FC2E-4846-A657-F205991A1824}"/>
                </c:ext>
              </c:extLst>
            </c:dLbl>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fr-FR"/>
              </a:p>
            </c:txPr>
            <c:dLblPos val="inEnd"/>
            <c:showLegendKey val="0"/>
            <c:showVal val="0"/>
            <c:showCatName val="0"/>
            <c:showSerName val="0"/>
            <c:showPercent val="0"/>
            <c:showBubbleSize val="0"/>
            <c:extLst>
              <c:ext xmlns:c15="http://schemas.microsoft.com/office/drawing/2012/chart" uri="{CE6537A1-D6FC-4f65-9D91-7224C49458BB}"/>
            </c:extLst>
          </c:dLbls>
          <c:cat>
            <c:strRef>
              <c:f>TCD!$B$44:$B$46</c:f>
              <c:strCache>
                <c:ptCount val="2"/>
                <c:pt idx="0">
                  <c:v>Femme</c:v>
                </c:pt>
                <c:pt idx="1">
                  <c:v>Homme</c:v>
                </c:pt>
              </c:strCache>
            </c:strRef>
          </c:cat>
          <c:val>
            <c:numRef>
              <c:f>TCD!$C$44:$C$46</c:f>
              <c:numCache>
                <c:formatCode>#,##0\ [$€-40C]</c:formatCode>
                <c:ptCount val="2"/>
                <c:pt idx="0">
                  <c:v>827006</c:v>
                </c:pt>
                <c:pt idx="1">
                  <c:v>643047</c:v>
                </c:pt>
              </c:numCache>
            </c:numRef>
          </c:val>
          <c:extLst>
            <c:ext xmlns:c16="http://schemas.microsoft.com/office/drawing/2014/chart" uri="{C3380CC4-5D6E-409C-BE32-E72D297353CC}">
              <c16:uniqueId val="{00000000-FC2E-4846-A657-F205991A1824}"/>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765023"/>
    </a:solid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[Donnees_Campagnes_Publicitaires_Exam_Module1_Vincent Dotigny.xlsx]TCD!Tableau croisé dynamique11</c:name>
    <c:fmtId val="9"/>
  </c:pivotSource>
  <c:chart>
    <c:title>
      <c:tx>
        <c:rich>
          <a:bodyPr rot="0" spcFirstLastPara="1" vertOverflow="ellipsis" vert="horz" wrap="square" anchor="ctr" anchorCtr="1"/>
          <a:lstStyle/>
          <a:p>
            <a:pPr algn="ctr" rtl="0">
              <a:defRPr lang="fr-FR" sz="1200" b="1" i="0" u="sng" strike="noStrike" kern="1200" cap="all" spc="0" normalizeH="0" baseline="0">
                <a:ln>
                  <a:noFill/>
                </a:ln>
                <a:solidFill>
                  <a:schemeClr val="bg1"/>
                </a:solidFill>
                <a:latin typeface="+mn-lt"/>
                <a:ea typeface="+mn-ea"/>
                <a:cs typeface="+mn-cs"/>
              </a:defRPr>
            </a:pPr>
            <a:r>
              <a:rPr lang="fr-FR" sz="1200" b="1" i="0" u="sng" strike="noStrike" kern="1200" cap="all" spc="0" normalizeH="0" baseline="0">
                <a:ln>
                  <a:noFill/>
                </a:ln>
                <a:solidFill>
                  <a:schemeClr val="bg1"/>
                </a:solidFill>
                <a:latin typeface="+mn-lt"/>
                <a:ea typeface="+mn-ea"/>
                <a:cs typeface="+mn-cs"/>
              </a:rPr>
              <a:t>Taux de conversion moyen par tranche d'âge </a:t>
            </a:r>
          </a:p>
        </c:rich>
      </c:tx>
      <c:overlay val="0"/>
      <c:spPr>
        <a:noFill/>
        <a:ln>
          <a:noFill/>
        </a:ln>
        <a:effectLst/>
      </c:spPr>
      <c:txPr>
        <a:bodyPr rot="0" spcFirstLastPara="1" vertOverflow="ellipsis" vert="horz" wrap="square" anchor="ctr" anchorCtr="1"/>
        <a:lstStyle/>
        <a:p>
          <a:pPr algn="ctr" rtl="0">
            <a:defRPr lang="fr-FR" sz="1200" b="1" i="0" u="sng" strike="noStrike" kern="1200" cap="all" spc="0" normalizeH="0" baseline="0">
              <a:ln>
                <a:noFill/>
              </a:ln>
              <a:solidFill>
                <a:schemeClr val="bg1"/>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dLbl>
          <c:idx val="0"/>
          <c:layout>
            <c:manualLayout>
              <c:x val="4.140786749482402E-3"/>
              <c:y val="0.1426890506611202"/>
            </c:manualLayout>
          </c:layout>
          <c:spPr>
            <a:noFill/>
            <a:ln>
              <a:noFill/>
            </a:ln>
            <a:effectLst/>
          </c:spPr>
          <c:txPr>
            <a:bodyPr rot="-5400000" spcFirstLastPara="1" vertOverflow="clip" horzOverflow="clip"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25346831646044"/>
          <c:y val="0.23798742138364781"/>
          <c:w val="0.83118338468560993"/>
          <c:h val="0.60566849898479669"/>
        </c:manualLayout>
      </c:layout>
      <c:barChart>
        <c:barDir val="col"/>
        <c:grouping val="clustered"/>
        <c:varyColors val="0"/>
        <c:ser>
          <c:idx val="0"/>
          <c:order val="0"/>
          <c:tx>
            <c:strRef>
              <c:f>TCD!$C$58</c:f>
              <c:strCache>
                <c:ptCount val="1"/>
                <c:pt idx="0">
                  <c:v>Total</c:v>
                </c:pt>
              </c:strCache>
            </c:strRef>
          </c:tx>
          <c:spPr>
            <a:solidFill>
              <a:srgbClr val="FFFF00"/>
            </a:solidFill>
            <a:ln>
              <a:noFill/>
            </a:ln>
            <a:effectLst/>
          </c:spPr>
          <c:invertIfNegative val="0"/>
          <c:dPt>
            <c:idx val="4"/>
            <c:invertIfNegative val="0"/>
            <c:bubble3D val="0"/>
            <c:spPr>
              <a:solidFill>
                <a:srgbClr val="FFFF00"/>
              </a:solidFill>
              <a:ln>
                <a:noFill/>
              </a:ln>
              <a:effectLst/>
            </c:spPr>
            <c:extLst>
              <c:ext xmlns:c16="http://schemas.microsoft.com/office/drawing/2014/chart" uri="{C3380CC4-5D6E-409C-BE32-E72D297353CC}">
                <c16:uniqueId val="{00000001-0E5F-4C8A-BDFB-4932EC6F234B}"/>
              </c:ext>
            </c:extLst>
          </c:dPt>
          <c:dLbls>
            <c:dLbl>
              <c:idx val="4"/>
              <c:layout>
                <c:manualLayout>
                  <c:x val="4.140786749482402E-3"/>
                  <c:y val="0.1426890506611202"/>
                </c:manualLayout>
              </c:layout>
              <c:spPr>
                <a:noFill/>
                <a:ln>
                  <a:noFill/>
                </a:ln>
                <a:effectLst/>
              </c:spPr>
              <c:txPr>
                <a:bodyPr rot="-5400000" spcFirstLastPara="1" vertOverflow="clip" horzOverflow="clip"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E5F-4C8A-BDFB-4932EC6F234B}"/>
                </c:ext>
              </c:extLst>
            </c:dLbl>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TCD!$B$59:$B$64</c:f>
              <c:strCache>
                <c:ptCount val="5"/>
                <c:pt idx="0">
                  <c:v>18-24</c:v>
                </c:pt>
                <c:pt idx="1">
                  <c:v>25-34</c:v>
                </c:pt>
                <c:pt idx="2">
                  <c:v>35-44</c:v>
                </c:pt>
                <c:pt idx="3">
                  <c:v>45-54</c:v>
                </c:pt>
                <c:pt idx="4">
                  <c:v>55+</c:v>
                </c:pt>
              </c:strCache>
            </c:strRef>
          </c:cat>
          <c:val>
            <c:numRef>
              <c:f>TCD!$C$59:$C$64</c:f>
              <c:numCache>
                <c:formatCode>0.00%</c:formatCode>
                <c:ptCount val="5"/>
                <c:pt idx="0">
                  <c:v>0.11618000000000001</c:v>
                </c:pt>
                <c:pt idx="1">
                  <c:v>0.13539130434782609</c:v>
                </c:pt>
                <c:pt idx="2">
                  <c:v>6.5416666666666651E-2</c:v>
                </c:pt>
                <c:pt idx="3">
                  <c:v>8.0086363636363664E-2</c:v>
                </c:pt>
                <c:pt idx="4">
                  <c:v>3.3058823529411759E-2</c:v>
                </c:pt>
              </c:numCache>
            </c:numRef>
          </c:val>
          <c:extLst>
            <c:ext xmlns:c16="http://schemas.microsoft.com/office/drawing/2014/chart" uri="{C3380CC4-5D6E-409C-BE32-E72D297353CC}">
              <c16:uniqueId val="{00000000-42EE-4548-8BBE-EDC8B60F04C2}"/>
            </c:ext>
          </c:extLst>
        </c:ser>
        <c:dLbls>
          <c:dLblPos val="outEnd"/>
          <c:showLegendKey val="0"/>
          <c:showVal val="1"/>
          <c:showCatName val="0"/>
          <c:showSerName val="0"/>
          <c:showPercent val="0"/>
          <c:showBubbleSize val="0"/>
        </c:dLbls>
        <c:gapWidth val="219"/>
        <c:overlap val="-27"/>
        <c:axId val="1164114224"/>
        <c:axId val="1164118544"/>
      </c:barChart>
      <c:catAx>
        <c:axId val="116411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1164118544"/>
        <c:crosses val="autoZero"/>
        <c:auto val="1"/>
        <c:lblAlgn val="ctr"/>
        <c:lblOffset val="100"/>
        <c:noMultiLvlLbl val="0"/>
      </c:catAx>
      <c:valAx>
        <c:axId val="116411854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1164114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765023"/>
    </a:solid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[Donnees_Campagnes_Publicitaires_Exam_Module1_Vincent Dotigny.xlsx]TCD!Tableau croisé dynamique1</c:name>
    <c:fmtId val="18"/>
  </c:pivotSource>
  <c:chart>
    <c:title>
      <c:tx>
        <c:rich>
          <a:bodyPr rot="0" spcFirstLastPara="1" vertOverflow="ellipsis" vert="horz" wrap="square" anchor="ctr" anchorCtr="1"/>
          <a:lstStyle/>
          <a:p>
            <a:pPr>
              <a:defRPr lang="en-US" sz="1200" b="1" i="0" u="sng" strike="noStrike" kern="1200" cap="all" spc="0" normalizeH="0" baseline="0">
                <a:ln>
                  <a:noFill/>
                </a:ln>
                <a:solidFill>
                  <a:schemeClr val="bg1"/>
                </a:solidFill>
                <a:latin typeface="+mn-lt"/>
                <a:ea typeface="+mn-ea"/>
                <a:cs typeface="+mn-cs"/>
              </a:defRPr>
            </a:pPr>
            <a:r>
              <a:rPr lang="en-US" sz="1200" b="1" i="0" u="sng" strike="noStrike" kern="1200" cap="all" spc="0" normalizeH="0" baseline="0">
                <a:ln>
                  <a:noFill/>
                </a:ln>
                <a:solidFill>
                  <a:schemeClr val="bg1"/>
                </a:solidFill>
                <a:latin typeface="+mn-lt"/>
                <a:ea typeface="+mn-ea"/>
                <a:cs typeface="+mn-cs"/>
              </a:rPr>
              <a:t>Ventes totales par tranche d'âge</a:t>
            </a:r>
          </a:p>
        </c:rich>
      </c:tx>
      <c:overlay val="0"/>
      <c:spPr>
        <a:noFill/>
        <a:ln>
          <a:noFill/>
        </a:ln>
        <a:effectLst/>
      </c:spPr>
      <c:txPr>
        <a:bodyPr rot="0" spcFirstLastPara="1" vertOverflow="ellipsis" vert="horz" wrap="square" anchor="ctr" anchorCtr="1"/>
        <a:lstStyle/>
        <a:p>
          <a:pPr>
            <a:defRPr lang="en-US" sz="1200" b="1" i="0" u="sng" strike="noStrike" kern="1200" cap="all" spc="0" normalizeH="0" baseline="0">
              <a:ln>
                <a:noFill/>
              </a:ln>
              <a:solidFill>
                <a:schemeClr val="bg1"/>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TCD!$C$49</c:f>
              <c:strCache>
                <c:ptCount val="1"/>
                <c:pt idx="0">
                  <c:v>Total</c:v>
                </c:pt>
              </c:strCache>
            </c:strRef>
          </c:tx>
          <c:spPr>
            <a:solidFill>
              <a:srgbClr val="FFFF0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TCD!$B$50:$B$55</c:f>
              <c:strCache>
                <c:ptCount val="5"/>
                <c:pt idx="0">
                  <c:v>18-24</c:v>
                </c:pt>
                <c:pt idx="1">
                  <c:v>25-34</c:v>
                </c:pt>
                <c:pt idx="2">
                  <c:v>35-44</c:v>
                </c:pt>
                <c:pt idx="3">
                  <c:v>45-54</c:v>
                </c:pt>
                <c:pt idx="4">
                  <c:v>55+</c:v>
                </c:pt>
              </c:strCache>
            </c:strRef>
          </c:cat>
          <c:val>
            <c:numRef>
              <c:f>TCD!$C$50:$C$55</c:f>
              <c:numCache>
                <c:formatCode>#,##0\ [$€-40C]</c:formatCode>
                <c:ptCount val="5"/>
                <c:pt idx="0">
                  <c:v>398209</c:v>
                </c:pt>
                <c:pt idx="1">
                  <c:v>274382</c:v>
                </c:pt>
                <c:pt idx="2">
                  <c:v>270590</c:v>
                </c:pt>
                <c:pt idx="3">
                  <c:v>274285</c:v>
                </c:pt>
                <c:pt idx="4">
                  <c:v>252587</c:v>
                </c:pt>
              </c:numCache>
            </c:numRef>
          </c:val>
          <c:extLst>
            <c:ext xmlns:c16="http://schemas.microsoft.com/office/drawing/2014/chart" uri="{C3380CC4-5D6E-409C-BE32-E72D297353CC}">
              <c16:uniqueId val="{00000000-0692-4C9A-895E-FBFBCB8A7025}"/>
            </c:ext>
          </c:extLst>
        </c:ser>
        <c:dLbls>
          <c:showLegendKey val="0"/>
          <c:showVal val="0"/>
          <c:showCatName val="0"/>
          <c:showSerName val="0"/>
          <c:showPercent val="0"/>
          <c:showBubbleSize val="0"/>
        </c:dLbls>
        <c:gapWidth val="219"/>
        <c:overlap val="-27"/>
        <c:axId val="205346527"/>
        <c:axId val="205354687"/>
      </c:barChart>
      <c:catAx>
        <c:axId val="20534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205354687"/>
        <c:crosses val="autoZero"/>
        <c:auto val="1"/>
        <c:lblAlgn val="ctr"/>
        <c:lblOffset val="100"/>
        <c:noMultiLvlLbl val="0"/>
      </c:catAx>
      <c:valAx>
        <c:axId val="205354687"/>
        <c:scaling>
          <c:orientation val="minMax"/>
        </c:scaling>
        <c:delete val="0"/>
        <c:axPos val="l"/>
        <c:majorGridlines>
          <c:spPr>
            <a:ln w="9525" cap="flat" cmpd="sng" algn="ctr">
              <a:noFill/>
              <a:round/>
            </a:ln>
            <a:effectLst/>
          </c:spPr>
        </c:majorGridlines>
        <c:numFmt formatCode="#,##0\ [$€-40C]"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205346527"/>
        <c:crosses val="autoZero"/>
        <c:crossBetween val="between"/>
      </c:valAx>
      <c:spPr>
        <a:solidFill>
          <a:srgbClr val="765023"/>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765023"/>
    </a:solid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[Donnees_Campagnes_Publicitaires_Exam_Module1_Vincent Dotigny.xlsx]TCD!Tableau croisé dynamique2</c:name>
    <c:fmtId val="15"/>
  </c:pivotSource>
  <c:chart>
    <c:title>
      <c:tx>
        <c:rich>
          <a:bodyPr rot="0" spcFirstLastPara="1" vertOverflow="ellipsis" vert="horz" wrap="square" anchor="ctr" anchorCtr="1"/>
          <a:lstStyle/>
          <a:p>
            <a:pPr algn="ctr" rtl="0">
              <a:defRPr lang="en-US" sz="1200" b="1" i="0" u="sng" strike="noStrike" kern="1200" cap="all" spc="0" normalizeH="0" baseline="0">
                <a:ln>
                  <a:noFill/>
                </a:ln>
                <a:solidFill>
                  <a:schemeClr val="bg1"/>
                </a:solidFill>
                <a:latin typeface="+mn-lt"/>
                <a:ea typeface="+mn-ea"/>
                <a:cs typeface="+mn-cs"/>
              </a:defRPr>
            </a:pPr>
            <a:r>
              <a:rPr lang="en-US" sz="1200" b="1" i="0" u="sng" strike="noStrike" kern="1200" cap="all" spc="0" normalizeH="0" baseline="0">
                <a:ln>
                  <a:noFill/>
                </a:ln>
                <a:solidFill>
                  <a:schemeClr val="bg1"/>
                </a:solidFill>
                <a:latin typeface="+mn-lt"/>
                <a:ea typeface="+mn-ea"/>
                <a:cs typeface="+mn-cs"/>
              </a:rPr>
              <a:t>Taux de conversion moyen par sexe</a:t>
            </a:r>
          </a:p>
          <a:p>
            <a:pPr algn="ctr" rtl="0">
              <a:defRPr lang="en-US" sz="1200" b="1" u="sng" cap="all" normalizeH="0">
                <a:ln>
                  <a:noFill/>
                </a:ln>
                <a:solidFill>
                  <a:schemeClr val="bg1"/>
                </a:solidFill>
              </a:defRPr>
            </a:pPr>
            <a:endParaRPr lang="en-US" sz="1200" b="1" i="0" u="sng" strike="noStrike" kern="1200" cap="all" spc="0" normalizeH="0" baseline="0">
              <a:ln>
                <a:noFill/>
              </a:ln>
              <a:solidFill>
                <a:schemeClr val="bg1"/>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200" b="1" i="0" u="sng" strike="noStrike" kern="1200" cap="all" spc="0" normalizeH="0" baseline="0">
              <a:ln>
                <a:noFill/>
              </a:ln>
              <a:solidFill>
                <a:schemeClr val="bg1"/>
              </a:solidFill>
              <a:latin typeface="+mn-lt"/>
              <a:ea typeface="+mn-ea"/>
              <a:cs typeface="+mn-cs"/>
            </a:defRPr>
          </a:pPr>
          <a:endParaRPr lang="fr-FR"/>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0C0"/>
          </a:solidFill>
          <a:ln w="19050">
            <a:solidFill>
              <a:schemeClr val="bg1"/>
            </a:solidFill>
          </a:ln>
          <a:effectLst/>
        </c:spPr>
      </c:pivotFmt>
      <c:pivotFmt>
        <c:idx val="6"/>
        <c:spPr>
          <a:solidFill>
            <a:srgbClr val="CD4933"/>
          </a:solidFill>
          <a:ln w="19050">
            <a:solidFill>
              <a:schemeClr val="lt1"/>
            </a:solidFill>
          </a:ln>
          <a:effectLst/>
        </c:spPr>
      </c:pivotFmt>
    </c:pivotFmts>
    <c:plotArea>
      <c:layout>
        <c:manualLayout>
          <c:layoutTarget val="inner"/>
          <c:xMode val="edge"/>
          <c:yMode val="edge"/>
          <c:x val="0.10166177908113393"/>
          <c:y val="0.27615176151761517"/>
          <c:w val="0.80840664711632448"/>
          <c:h val="0.54024326227514241"/>
        </c:manualLayout>
      </c:layout>
      <c:barChart>
        <c:barDir val="col"/>
        <c:grouping val="clustered"/>
        <c:varyColors val="0"/>
        <c:ser>
          <c:idx val="0"/>
          <c:order val="0"/>
          <c:tx>
            <c:strRef>
              <c:f>TCD!$C$67</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rgbClr val="0070C0"/>
              </a:solidFill>
              <a:ln w="19050">
                <a:solidFill>
                  <a:schemeClr val="bg1"/>
                </a:solidFill>
              </a:ln>
              <a:effectLst/>
            </c:spPr>
            <c:extLst>
              <c:ext xmlns:c16="http://schemas.microsoft.com/office/drawing/2014/chart" uri="{C3380CC4-5D6E-409C-BE32-E72D297353CC}">
                <c16:uniqueId val="{00000001-AD0B-48F5-B88B-DF5E897162F4}"/>
              </c:ext>
            </c:extLst>
          </c:dPt>
          <c:dPt>
            <c:idx val="1"/>
            <c:invertIfNegative val="0"/>
            <c:bubble3D val="0"/>
            <c:spPr>
              <a:solidFill>
                <a:srgbClr val="CD4933"/>
              </a:solidFill>
              <a:ln w="19050">
                <a:solidFill>
                  <a:schemeClr val="lt1"/>
                </a:solidFill>
              </a:ln>
              <a:effectLst/>
            </c:spPr>
            <c:extLst>
              <c:ext xmlns:c16="http://schemas.microsoft.com/office/drawing/2014/chart" uri="{C3380CC4-5D6E-409C-BE32-E72D297353CC}">
                <c16:uniqueId val="{00000003-AD0B-48F5-B88B-DF5E897162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TCD!$B$68:$B$70</c:f>
              <c:strCache>
                <c:ptCount val="2"/>
                <c:pt idx="0">
                  <c:v>Femme</c:v>
                </c:pt>
                <c:pt idx="1">
                  <c:v>Homme</c:v>
                </c:pt>
              </c:strCache>
            </c:strRef>
          </c:cat>
          <c:val>
            <c:numRef>
              <c:f>TCD!$C$68:$C$70</c:f>
              <c:numCache>
                <c:formatCode>0.00%</c:formatCode>
                <c:ptCount val="2"/>
                <c:pt idx="0">
                  <c:v>6.1356140350877199E-2</c:v>
                </c:pt>
                <c:pt idx="1">
                  <c:v>0.12547083333333331</c:v>
                </c:pt>
              </c:numCache>
            </c:numRef>
          </c:val>
          <c:extLst>
            <c:ext xmlns:c16="http://schemas.microsoft.com/office/drawing/2014/chart" uri="{C3380CC4-5D6E-409C-BE32-E72D297353CC}">
              <c16:uniqueId val="{00000004-AD0B-48F5-B88B-DF5E897162F4}"/>
            </c:ext>
          </c:extLst>
        </c:ser>
        <c:dLbls>
          <c:showLegendKey val="0"/>
          <c:showVal val="0"/>
          <c:showCatName val="0"/>
          <c:showSerName val="0"/>
          <c:showPercent val="0"/>
          <c:showBubbleSize val="0"/>
        </c:dLbls>
        <c:gapWidth val="100"/>
        <c:axId val="1650397247"/>
        <c:axId val="1650414527"/>
      </c:barChart>
      <c:catAx>
        <c:axId val="16503972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1650414527"/>
        <c:crosses val="autoZero"/>
        <c:auto val="1"/>
        <c:lblAlgn val="ctr"/>
        <c:lblOffset val="100"/>
        <c:noMultiLvlLbl val="0"/>
      </c:catAx>
      <c:valAx>
        <c:axId val="1650414527"/>
        <c:scaling>
          <c:orientation val="minMax"/>
        </c:scaling>
        <c:delete val="0"/>
        <c:axPos val="l"/>
        <c:majorGridlines>
          <c:spPr>
            <a:ln w="9525" cap="flat" cmpd="sng" algn="ctr">
              <a:no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1650397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765023"/>
    </a:solid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[Donnees_Campagnes_Publicitaires_Exam_Module1_Vincent Dotigny.xlsx]TCD!Tableau croisé dynamique3</c:name>
    <c:fmtId val="56"/>
  </c:pivotSource>
  <c:chart>
    <c:title>
      <c:tx>
        <c:rich>
          <a:bodyPr rot="0" spcFirstLastPara="1" vertOverflow="ellipsis" vert="horz" wrap="square" anchor="ctr" anchorCtr="1"/>
          <a:lstStyle/>
          <a:p>
            <a:pPr>
              <a:defRPr lang="fr-FR" sz="1400" b="1" i="0" u="sng" strike="noStrike" kern="1200" spc="0" baseline="0">
                <a:ln>
                  <a:noFill/>
                </a:ln>
                <a:solidFill>
                  <a:schemeClr val="bg1"/>
                </a:solidFill>
                <a:latin typeface="+mn-lt"/>
                <a:ea typeface="+mn-ea"/>
                <a:cs typeface="+mn-cs"/>
              </a:defRPr>
            </a:pPr>
            <a:r>
              <a:rPr lang="fr-FR" sz="1400" b="1" i="0" u="sng" strike="noStrike" kern="1200" spc="0" baseline="0">
                <a:ln>
                  <a:noFill/>
                </a:ln>
                <a:solidFill>
                  <a:schemeClr val="bg1"/>
                </a:solidFill>
                <a:latin typeface="+mn-lt"/>
                <a:ea typeface="+mn-ea"/>
                <a:cs typeface="+mn-cs"/>
              </a:rPr>
              <a:t>Ventes totales et ROI par Centre d'intérêt</a:t>
            </a:r>
          </a:p>
        </c:rich>
      </c:tx>
      <c:overlay val="0"/>
      <c:spPr>
        <a:noFill/>
        <a:ln>
          <a:noFill/>
        </a:ln>
        <a:effectLst/>
      </c:spPr>
      <c:txPr>
        <a:bodyPr rot="0" spcFirstLastPara="1" vertOverflow="ellipsis" vert="horz" wrap="square" anchor="ctr" anchorCtr="1"/>
        <a:lstStyle/>
        <a:p>
          <a:pPr>
            <a:defRPr lang="fr-FR" sz="1400" b="1" i="0" u="sng" strike="noStrike" kern="1200" spc="0" baseline="0">
              <a:ln>
                <a:noFill/>
              </a:ln>
              <a:solidFill>
                <a:schemeClr val="bg1"/>
              </a:solidFill>
              <a:latin typeface="+mn-lt"/>
              <a:ea typeface="+mn-ea"/>
              <a:cs typeface="+mn-cs"/>
            </a:defRPr>
          </a:pPr>
          <a:endParaRPr lang="fr-F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dLbl>
          <c:idx val="0"/>
          <c:showLegendKey val="0"/>
          <c:showVal val="0"/>
          <c:showCatName val="0"/>
          <c:showSerName val="0"/>
          <c:showPercent val="0"/>
          <c:showBubbleSize val="0"/>
          <c:extLst>
            <c:ext xmlns:c15="http://schemas.microsoft.com/office/drawing/2012/chart" uri="{CE6537A1-D6FC-4f65-9D91-7224C49458BB}"/>
          </c:extLst>
        </c:dLbl>
      </c:pivotFmt>
      <c:pivotFmt>
        <c:idx val="188"/>
        <c:dLbl>
          <c:idx val="0"/>
          <c:showLegendKey val="0"/>
          <c:showVal val="0"/>
          <c:showCatName val="0"/>
          <c:showSerName val="0"/>
          <c:showPercent val="0"/>
          <c:showBubbleSize val="0"/>
          <c:extLst>
            <c:ext xmlns:c15="http://schemas.microsoft.com/office/drawing/2012/chart" uri="{CE6537A1-D6FC-4f65-9D91-7224C49458BB}"/>
          </c:extLst>
        </c:dLbl>
      </c:pivotFmt>
      <c:pivotFmt>
        <c:idx val="189"/>
        <c:dLbl>
          <c:idx val="0"/>
          <c:showLegendKey val="0"/>
          <c:showVal val="0"/>
          <c:showCatName val="0"/>
          <c:showSerName val="0"/>
          <c:showPercent val="0"/>
          <c:showBubbleSize val="0"/>
          <c:extLst>
            <c:ext xmlns:c15="http://schemas.microsoft.com/office/drawing/2012/chart" uri="{CE6537A1-D6FC-4f65-9D91-7224C49458BB}"/>
          </c:extLst>
        </c:dLbl>
      </c:pivotFmt>
      <c:pivotFmt>
        <c:idx val="190"/>
        <c:dLbl>
          <c:idx val="0"/>
          <c:showLegendKey val="0"/>
          <c:showVal val="0"/>
          <c:showCatName val="0"/>
          <c:showSerName val="0"/>
          <c:showPercent val="0"/>
          <c:showBubbleSize val="0"/>
          <c:extLst>
            <c:ext xmlns:c15="http://schemas.microsoft.com/office/drawing/2012/chart" uri="{CE6537A1-D6FC-4f65-9D91-7224C49458BB}"/>
          </c:extLst>
        </c:dLbl>
      </c:pivotFmt>
      <c:pivotFmt>
        <c:idx val="191"/>
        <c:dLbl>
          <c:idx val="0"/>
          <c:showLegendKey val="0"/>
          <c:showVal val="0"/>
          <c:showCatName val="0"/>
          <c:showSerName val="0"/>
          <c:showPercent val="0"/>
          <c:showBubbleSize val="0"/>
          <c:extLst>
            <c:ext xmlns:c15="http://schemas.microsoft.com/office/drawing/2012/chart" uri="{CE6537A1-D6FC-4f65-9D91-7224C49458BB}"/>
          </c:extLst>
        </c:dLbl>
      </c:pivotFmt>
      <c:pivotFmt>
        <c:idx val="192"/>
        <c:dLbl>
          <c:idx val="0"/>
          <c:showLegendKey val="0"/>
          <c:showVal val="0"/>
          <c:showCatName val="0"/>
          <c:showSerName val="0"/>
          <c:showPercent val="0"/>
          <c:showBubbleSize val="0"/>
          <c:extLst>
            <c:ext xmlns:c15="http://schemas.microsoft.com/office/drawing/2012/chart" uri="{CE6537A1-D6FC-4f65-9D91-7224C49458BB}"/>
          </c:extLst>
        </c:dLbl>
      </c:pivotFmt>
      <c:pivotFmt>
        <c:idx val="193"/>
        <c:dLbl>
          <c:idx val="0"/>
          <c:showLegendKey val="0"/>
          <c:showVal val="0"/>
          <c:showCatName val="0"/>
          <c:showSerName val="0"/>
          <c:showPercent val="0"/>
          <c:showBubbleSize val="0"/>
          <c:extLst>
            <c:ext xmlns:c15="http://schemas.microsoft.com/office/drawing/2012/chart" uri="{CE6537A1-D6FC-4f65-9D91-7224C49458BB}"/>
          </c:extLst>
        </c:dLbl>
      </c:pivotFmt>
      <c:pivotFmt>
        <c:idx val="194"/>
        <c:dLbl>
          <c:idx val="0"/>
          <c:showLegendKey val="0"/>
          <c:showVal val="0"/>
          <c:showCatName val="0"/>
          <c:showSerName val="0"/>
          <c:showPercent val="0"/>
          <c:showBubbleSize val="0"/>
          <c:extLst>
            <c:ext xmlns:c15="http://schemas.microsoft.com/office/drawing/2012/chart" uri="{CE6537A1-D6FC-4f65-9D91-7224C49458BB}"/>
          </c:extLst>
        </c:dLbl>
      </c:pivotFmt>
      <c:pivotFmt>
        <c:idx val="195"/>
        <c:dLbl>
          <c:idx val="0"/>
          <c:showLegendKey val="0"/>
          <c:showVal val="0"/>
          <c:showCatName val="0"/>
          <c:showSerName val="0"/>
          <c:showPercent val="0"/>
          <c:showBubbleSize val="0"/>
          <c:extLst>
            <c:ext xmlns:c15="http://schemas.microsoft.com/office/drawing/2012/chart" uri="{CE6537A1-D6FC-4f65-9D91-7224C49458BB}"/>
          </c:extLst>
        </c:dLbl>
      </c:pivotFmt>
      <c:pivotFmt>
        <c:idx val="196"/>
        <c:dLbl>
          <c:idx val="0"/>
          <c:showLegendKey val="0"/>
          <c:showVal val="0"/>
          <c:showCatName val="0"/>
          <c:showSerName val="0"/>
          <c:showPercent val="0"/>
          <c:showBubbleSize val="0"/>
          <c:extLst>
            <c:ext xmlns:c15="http://schemas.microsoft.com/office/drawing/2012/chart" uri="{CE6537A1-D6FC-4f65-9D91-7224C49458BB}"/>
          </c:extLst>
        </c:dLbl>
      </c:pivotFmt>
      <c:pivotFmt>
        <c:idx val="197"/>
        <c:dLbl>
          <c:idx val="0"/>
          <c:showLegendKey val="0"/>
          <c:showVal val="0"/>
          <c:showCatName val="0"/>
          <c:showSerName val="0"/>
          <c:showPercent val="0"/>
          <c:showBubbleSize val="0"/>
          <c:extLst>
            <c:ext xmlns:c15="http://schemas.microsoft.com/office/drawing/2012/chart" uri="{CE6537A1-D6FC-4f65-9D91-7224C49458BB}"/>
          </c:extLst>
        </c:dLbl>
      </c:pivotFmt>
      <c:pivotFmt>
        <c:idx val="198"/>
        <c:dLbl>
          <c:idx val="0"/>
          <c:showLegendKey val="0"/>
          <c:showVal val="0"/>
          <c:showCatName val="0"/>
          <c:showSerName val="0"/>
          <c:showPercent val="0"/>
          <c:showBubbleSize val="0"/>
          <c:extLst>
            <c:ext xmlns:c15="http://schemas.microsoft.com/office/drawing/2012/chart" uri="{CE6537A1-D6FC-4f65-9D91-7224C49458BB}"/>
          </c:extLst>
        </c:dLbl>
      </c:pivotFmt>
      <c:pivotFmt>
        <c:idx val="199"/>
        <c:dLbl>
          <c:idx val="0"/>
          <c:showLegendKey val="0"/>
          <c:showVal val="0"/>
          <c:showCatName val="0"/>
          <c:showSerName val="0"/>
          <c:showPercent val="0"/>
          <c:showBubbleSize val="0"/>
          <c:extLst>
            <c:ext xmlns:c15="http://schemas.microsoft.com/office/drawing/2012/chart" uri="{CE6537A1-D6FC-4f65-9D91-7224C49458BB}"/>
          </c:extLst>
        </c:dLbl>
      </c:pivotFmt>
      <c:pivotFmt>
        <c:idx val="200"/>
        <c:dLbl>
          <c:idx val="0"/>
          <c:showLegendKey val="0"/>
          <c:showVal val="0"/>
          <c:showCatName val="0"/>
          <c:showSerName val="0"/>
          <c:showPercent val="0"/>
          <c:showBubbleSize val="0"/>
          <c:extLst>
            <c:ext xmlns:c15="http://schemas.microsoft.com/office/drawing/2012/chart" uri="{CE6537A1-D6FC-4f65-9D91-7224C49458BB}"/>
          </c:extLst>
        </c:dLbl>
      </c:pivotFmt>
      <c:pivotFmt>
        <c:idx val="201"/>
        <c:dLbl>
          <c:idx val="0"/>
          <c:showLegendKey val="0"/>
          <c:showVal val="0"/>
          <c:showCatName val="0"/>
          <c:showSerName val="0"/>
          <c:showPercent val="0"/>
          <c:showBubbleSize val="0"/>
          <c:extLst>
            <c:ext xmlns:c15="http://schemas.microsoft.com/office/drawing/2012/chart" uri="{CE6537A1-D6FC-4f65-9D91-7224C49458BB}"/>
          </c:extLst>
        </c:dLbl>
      </c:pivotFmt>
      <c:pivotFmt>
        <c:idx val="202"/>
        <c:dLbl>
          <c:idx val="0"/>
          <c:showLegendKey val="0"/>
          <c:showVal val="0"/>
          <c:showCatName val="0"/>
          <c:showSerName val="0"/>
          <c:showPercent val="0"/>
          <c:showBubbleSize val="0"/>
          <c:extLst>
            <c:ext xmlns:c15="http://schemas.microsoft.com/office/drawing/2012/chart" uri="{CE6537A1-D6FC-4f65-9D91-7224C49458BB}"/>
          </c:extLst>
        </c:dLbl>
      </c:pivotFmt>
      <c:pivotFmt>
        <c:idx val="203"/>
        <c:dLbl>
          <c:idx val="0"/>
          <c:showLegendKey val="0"/>
          <c:showVal val="0"/>
          <c:showCatName val="0"/>
          <c:showSerName val="0"/>
          <c:showPercent val="0"/>
          <c:showBubbleSize val="0"/>
          <c:extLst>
            <c:ext xmlns:c15="http://schemas.microsoft.com/office/drawing/2012/chart" uri="{CE6537A1-D6FC-4f65-9D91-7224C49458BB}"/>
          </c:extLst>
        </c:dLbl>
      </c:pivotFmt>
      <c:pivotFmt>
        <c:idx val="204"/>
        <c:dLbl>
          <c:idx val="0"/>
          <c:showLegendKey val="0"/>
          <c:showVal val="0"/>
          <c:showCatName val="0"/>
          <c:showSerName val="0"/>
          <c:showPercent val="0"/>
          <c:showBubbleSize val="0"/>
          <c:extLst>
            <c:ext xmlns:c15="http://schemas.microsoft.com/office/drawing/2012/chart" uri="{CE6537A1-D6FC-4f65-9D91-7224C49458BB}"/>
          </c:extLst>
        </c:dLbl>
      </c:pivotFmt>
      <c:pivotFmt>
        <c:idx val="205"/>
        <c:dLbl>
          <c:idx val="0"/>
          <c:showLegendKey val="0"/>
          <c:showVal val="0"/>
          <c:showCatName val="0"/>
          <c:showSerName val="0"/>
          <c:showPercent val="0"/>
          <c:showBubbleSize val="0"/>
          <c:extLst>
            <c:ext xmlns:c15="http://schemas.microsoft.com/office/drawing/2012/chart" uri="{CE6537A1-D6FC-4f65-9D91-7224C49458BB}"/>
          </c:extLst>
        </c:dLbl>
      </c:pivotFmt>
      <c:pivotFmt>
        <c:idx val="206"/>
        <c:dLbl>
          <c:idx val="0"/>
          <c:showLegendKey val="0"/>
          <c:showVal val="0"/>
          <c:showCatName val="0"/>
          <c:showSerName val="0"/>
          <c:showPercent val="0"/>
          <c:showBubbleSize val="0"/>
          <c:extLst>
            <c:ext xmlns:c15="http://schemas.microsoft.com/office/drawing/2012/chart" uri="{CE6537A1-D6FC-4f65-9D91-7224C49458BB}"/>
          </c:extLst>
        </c:dLbl>
      </c:pivotFmt>
      <c:pivotFmt>
        <c:idx val="207"/>
        <c:dLbl>
          <c:idx val="0"/>
          <c:showLegendKey val="0"/>
          <c:showVal val="0"/>
          <c:showCatName val="0"/>
          <c:showSerName val="0"/>
          <c:showPercent val="0"/>
          <c:showBubbleSize val="0"/>
          <c:extLst>
            <c:ext xmlns:c15="http://schemas.microsoft.com/office/drawing/2012/chart" uri="{CE6537A1-D6FC-4f65-9D91-7224C49458BB}"/>
          </c:extLst>
        </c:dLbl>
      </c:pivotFmt>
      <c:pivotFmt>
        <c:idx val="208"/>
        <c:dLbl>
          <c:idx val="0"/>
          <c:showLegendKey val="0"/>
          <c:showVal val="0"/>
          <c:showCatName val="0"/>
          <c:showSerName val="0"/>
          <c:showPercent val="0"/>
          <c:showBubbleSize val="0"/>
          <c:extLst>
            <c:ext xmlns:c15="http://schemas.microsoft.com/office/drawing/2012/chart" uri="{CE6537A1-D6FC-4f65-9D91-7224C49458BB}"/>
          </c:extLst>
        </c:dLbl>
      </c:pivotFmt>
      <c:pivotFmt>
        <c:idx val="209"/>
        <c:dLbl>
          <c:idx val="0"/>
          <c:showLegendKey val="0"/>
          <c:showVal val="0"/>
          <c:showCatName val="0"/>
          <c:showSerName val="0"/>
          <c:showPercent val="0"/>
          <c:showBubbleSize val="0"/>
          <c:extLst>
            <c:ext xmlns:c15="http://schemas.microsoft.com/office/drawing/2012/chart" uri="{CE6537A1-D6FC-4f65-9D91-7224C49458BB}"/>
          </c:extLst>
        </c:dLbl>
      </c:pivotFmt>
      <c:pivotFmt>
        <c:idx val="210"/>
        <c:dLbl>
          <c:idx val="0"/>
          <c:showLegendKey val="0"/>
          <c:showVal val="0"/>
          <c:showCatName val="0"/>
          <c:showSerName val="0"/>
          <c:showPercent val="0"/>
          <c:showBubbleSize val="0"/>
          <c:extLst>
            <c:ext xmlns:c15="http://schemas.microsoft.com/office/drawing/2012/chart" uri="{CE6537A1-D6FC-4f65-9D91-7224C49458BB}"/>
          </c:extLst>
        </c:dLbl>
      </c:pivotFmt>
      <c:pivotFmt>
        <c:idx val="211"/>
        <c:dLbl>
          <c:idx val="0"/>
          <c:showLegendKey val="0"/>
          <c:showVal val="0"/>
          <c:showCatName val="0"/>
          <c:showSerName val="0"/>
          <c:showPercent val="0"/>
          <c:showBubbleSize val="0"/>
          <c:extLst>
            <c:ext xmlns:c15="http://schemas.microsoft.com/office/drawing/2012/chart" uri="{CE6537A1-D6FC-4f65-9D91-7224C49458BB}"/>
          </c:extLst>
        </c:dLbl>
      </c:pivotFmt>
      <c:pivotFmt>
        <c:idx val="212"/>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9"/>
        <c:spPr>
          <a:solidFill>
            <a:srgbClr val="FFC000"/>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fr-FR"/>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20"/>
        <c:spPr>
          <a:ln w="31750" cap="rnd">
            <a:solidFill>
              <a:srgbClr val="002060"/>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1"/>
        <c:spPr>
          <a:ln w="31750" cap="rnd">
            <a:solidFill>
              <a:srgbClr val="002060"/>
            </a:solidFill>
            <a:round/>
          </a:ln>
          <a:effectLst>
            <a:outerShdw blurRad="40000" dist="23000" dir="5400000" rotWithShape="0">
              <a:srgbClr val="000000">
                <a:alpha val="35000"/>
              </a:srgbClr>
            </a:outerShdw>
          </a:effectLst>
        </c:spPr>
        <c:marker>
          <c:symbol val="none"/>
        </c:marker>
        <c:dLbl>
          <c:idx val="0"/>
          <c:layout>
            <c:manualLayout>
              <c:x val="-7.1306382054318468E-2"/>
              <c:y val="-7.28631008414502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2"/>
        <c:spPr>
          <a:solidFill>
            <a:srgbClr val="FFC000"/>
          </a:solidFill>
          <a:ln>
            <a:noFill/>
          </a:ln>
          <a:effectLst>
            <a:outerShdw blurRad="40000" dist="23000" dir="5400000" rotWithShape="0">
              <a:srgbClr val="000000">
                <a:alpha val="35000"/>
              </a:srgbClr>
            </a:outerShdw>
          </a:effectLst>
        </c:spPr>
        <c:dLbl>
          <c:idx val="0"/>
          <c:layout>
            <c:manualLayout>
              <c:x val="0"/>
              <c:y val="0.1907642672880209"/>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TCD!$C$78</c:f>
              <c:strCache>
                <c:ptCount val="1"/>
                <c:pt idx="0">
                  <c:v>Somme de Ventes Générées (€)</c:v>
                </c:pt>
              </c:strCache>
            </c:strRef>
          </c:tx>
          <c:spPr>
            <a:solidFill>
              <a:srgbClr val="FFC000"/>
            </a:solidFill>
            <a:ln>
              <a:noFill/>
            </a:ln>
            <a:effectLst>
              <a:outerShdw blurRad="40000" dist="23000" dir="5400000" rotWithShape="0">
                <a:srgbClr val="000000">
                  <a:alpha val="35000"/>
                </a:srgbClr>
              </a:outerShdw>
            </a:effectLst>
          </c:spPr>
          <c:invertIfNegative val="0"/>
          <c:dPt>
            <c:idx val="1"/>
            <c:invertIfNegative val="0"/>
            <c:bubble3D val="0"/>
            <c:spPr>
              <a:solidFill>
                <a:srgbClr val="FFC000"/>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6C7A-4F72-B1BC-65946F299B07}"/>
              </c:ext>
            </c:extLst>
          </c:dPt>
          <c:dLbls>
            <c:dLbl>
              <c:idx val="1"/>
              <c:layout>
                <c:manualLayout>
                  <c:x val="0"/>
                  <c:y val="0.190764267288020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7A-4F72-B1BC-65946F299B07}"/>
                </c:ext>
              </c:extLst>
            </c:dLbl>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fr-FR"/>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TCD!$B$79:$B$84</c:f>
              <c:strCache>
                <c:ptCount val="5"/>
                <c:pt idx="0">
                  <c:v>Beauté</c:v>
                </c:pt>
                <c:pt idx="1">
                  <c:v>Fitness</c:v>
                </c:pt>
                <c:pt idx="2">
                  <c:v>Lifestyle</c:v>
                </c:pt>
                <c:pt idx="3">
                  <c:v>Mode</c:v>
                </c:pt>
                <c:pt idx="4">
                  <c:v>Santé</c:v>
                </c:pt>
              </c:strCache>
            </c:strRef>
          </c:cat>
          <c:val>
            <c:numRef>
              <c:f>TCD!$C$79:$C$84</c:f>
              <c:numCache>
                <c:formatCode>#,##0\ [$€-40C]</c:formatCode>
                <c:ptCount val="5"/>
                <c:pt idx="0">
                  <c:v>294810</c:v>
                </c:pt>
                <c:pt idx="1">
                  <c:v>188467</c:v>
                </c:pt>
                <c:pt idx="2">
                  <c:v>405530</c:v>
                </c:pt>
                <c:pt idx="3">
                  <c:v>259371</c:v>
                </c:pt>
                <c:pt idx="4">
                  <c:v>321875</c:v>
                </c:pt>
              </c:numCache>
            </c:numRef>
          </c:val>
          <c:extLst>
            <c:ext xmlns:c16="http://schemas.microsoft.com/office/drawing/2014/chart" uri="{C3380CC4-5D6E-409C-BE32-E72D297353CC}">
              <c16:uniqueId val="{000000D3-55C1-43FB-9D4E-C5283D60097E}"/>
            </c:ext>
          </c:extLst>
        </c:ser>
        <c:dLbls>
          <c:showLegendKey val="0"/>
          <c:showVal val="0"/>
          <c:showCatName val="0"/>
          <c:showSerName val="0"/>
          <c:showPercent val="0"/>
          <c:showBubbleSize val="0"/>
        </c:dLbls>
        <c:gapWidth val="75"/>
        <c:axId val="1650432767"/>
        <c:axId val="1650423167"/>
      </c:barChart>
      <c:lineChart>
        <c:grouping val="standard"/>
        <c:varyColors val="0"/>
        <c:ser>
          <c:idx val="1"/>
          <c:order val="1"/>
          <c:tx>
            <c:strRef>
              <c:f>TCD!$D$78</c:f>
              <c:strCache>
                <c:ptCount val="1"/>
                <c:pt idx="0">
                  <c:v>Moyenne de ROI (%)</c:v>
                </c:pt>
              </c:strCache>
            </c:strRef>
          </c:tx>
          <c:spPr>
            <a:ln w="31750" cap="rnd">
              <a:solidFill>
                <a:srgbClr val="002060"/>
              </a:solidFill>
              <a:round/>
            </a:ln>
            <a:effectLst>
              <a:outerShdw blurRad="40000" dist="23000" dir="5400000" rotWithShape="0">
                <a:srgbClr val="000000">
                  <a:alpha val="35000"/>
                </a:srgbClr>
              </a:outerShdw>
            </a:effectLst>
          </c:spPr>
          <c:marker>
            <c:symbol val="none"/>
          </c:marker>
          <c:dPt>
            <c:idx val="2"/>
            <c:marker>
              <c:symbol val="none"/>
            </c:marker>
            <c:bubble3D val="0"/>
            <c:spPr>
              <a:ln w="31750" cap="rnd">
                <a:solidFill>
                  <a:srgbClr val="00206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0-6C7A-4F72-B1BC-65946F299B07}"/>
              </c:ext>
            </c:extLst>
          </c:dPt>
          <c:dLbls>
            <c:dLbl>
              <c:idx val="2"/>
              <c:layout>
                <c:manualLayout>
                  <c:x val="-7.1306382054318468E-2"/>
                  <c:y val="-7.286310084145025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C7A-4F72-B1BC-65946F299B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solidFill>
                    </a:ln>
                    <a:effectLst/>
                  </c:spPr>
                </c15:leaderLines>
              </c:ext>
            </c:extLst>
          </c:dLbls>
          <c:cat>
            <c:strRef>
              <c:f>TCD!$B$79:$B$84</c:f>
              <c:strCache>
                <c:ptCount val="5"/>
                <c:pt idx="0">
                  <c:v>Beauté</c:v>
                </c:pt>
                <c:pt idx="1">
                  <c:v>Fitness</c:v>
                </c:pt>
                <c:pt idx="2">
                  <c:v>Lifestyle</c:v>
                </c:pt>
                <c:pt idx="3">
                  <c:v>Mode</c:v>
                </c:pt>
                <c:pt idx="4">
                  <c:v>Santé</c:v>
                </c:pt>
              </c:strCache>
            </c:strRef>
          </c:cat>
          <c:val>
            <c:numRef>
              <c:f>TCD!$D$79:$D$84</c:f>
              <c:numCache>
                <c:formatCode>0%</c:formatCode>
                <c:ptCount val="5"/>
                <c:pt idx="0">
                  <c:v>1.701840329960548</c:v>
                </c:pt>
                <c:pt idx="1">
                  <c:v>1.2948473801546858</c:v>
                </c:pt>
                <c:pt idx="2">
                  <c:v>1.7252060724249725</c:v>
                </c:pt>
                <c:pt idx="3">
                  <c:v>1.2802127021201251</c:v>
                </c:pt>
                <c:pt idx="4">
                  <c:v>1.9620465207154063</c:v>
                </c:pt>
              </c:numCache>
            </c:numRef>
          </c:val>
          <c:smooth val="0"/>
          <c:extLst>
            <c:ext xmlns:c16="http://schemas.microsoft.com/office/drawing/2014/chart" uri="{C3380CC4-5D6E-409C-BE32-E72D297353CC}">
              <c16:uniqueId val="{000000D6-55C1-43FB-9D4E-C5283D60097E}"/>
            </c:ext>
          </c:extLst>
        </c:ser>
        <c:dLbls>
          <c:showLegendKey val="0"/>
          <c:showVal val="0"/>
          <c:showCatName val="0"/>
          <c:showSerName val="0"/>
          <c:showPercent val="0"/>
          <c:showBubbleSize val="0"/>
        </c:dLbls>
        <c:marker val="1"/>
        <c:smooth val="0"/>
        <c:axId val="1837849439"/>
        <c:axId val="1837848959"/>
      </c:lineChart>
      <c:catAx>
        <c:axId val="1650432767"/>
        <c:scaling>
          <c:orientation val="minMax"/>
        </c:scaling>
        <c:delete val="0"/>
        <c:axPos val="b"/>
        <c:numFmt formatCode="General" sourceLinked="1"/>
        <c:majorTickMark val="none"/>
        <c:minorTickMark val="out"/>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1650423167"/>
        <c:crosses val="autoZero"/>
        <c:auto val="0"/>
        <c:lblAlgn val="ctr"/>
        <c:lblOffset val="100"/>
        <c:noMultiLvlLbl val="0"/>
      </c:catAx>
      <c:valAx>
        <c:axId val="1650423167"/>
        <c:scaling>
          <c:orientation val="minMax"/>
        </c:scaling>
        <c:delete val="0"/>
        <c:axPos val="l"/>
        <c:numFmt formatCode="#,##0\ [$€-40C]"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1650432767"/>
        <c:crosses val="autoZero"/>
        <c:crossBetween val="between"/>
      </c:valAx>
      <c:valAx>
        <c:axId val="183784895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1837849439"/>
        <c:crosses val="max"/>
        <c:crossBetween val="between"/>
      </c:valAx>
      <c:catAx>
        <c:axId val="1837849439"/>
        <c:scaling>
          <c:orientation val="minMax"/>
        </c:scaling>
        <c:delete val="1"/>
        <c:axPos val="b"/>
        <c:numFmt formatCode="General" sourceLinked="1"/>
        <c:majorTickMark val="out"/>
        <c:minorTickMark val="none"/>
        <c:tickLblPos val="nextTo"/>
        <c:crossAx val="18378489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765023"/>
    </a:solid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742950</xdr:colOff>
      <xdr:row>25</xdr:row>
      <xdr:rowOff>4762</xdr:rowOff>
    </xdr:from>
    <xdr:to>
      <xdr:col>4</xdr:col>
      <xdr:colOff>419100</xdr:colOff>
      <xdr:row>39</xdr:row>
      <xdr:rowOff>80962</xdr:rowOff>
    </xdr:to>
    <xdr:graphicFrame macro="">
      <xdr:nvGraphicFramePr>
        <xdr:cNvPr id="2" name="Graphique 1">
          <a:extLst>
            <a:ext uri="{FF2B5EF4-FFF2-40B4-BE49-F238E27FC236}">
              <a16:creationId xmlns:a16="http://schemas.microsoft.com/office/drawing/2014/main" id="{11D71FCC-D95A-AE58-10B9-116BBF5F5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638175</xdr:colOff>
      <xdr:row>14</xdr:row>
      <xdr:rowOff>52387</xdr:rowOff>
    </xdr:from>
    <xdr:to>
      <xdr:col>8</xdr:col>
      <xdr:colOff>228600</xdr:colOff>
      <xdr:row>28</xdr:row>
      <xdr:rowOff>128587</xdr:rowOff>
    </xdr:to>
    <xdr:graphicFrame macro="">
      <xdr:nvGraphicFramePr>
        <xdr:cNvPr id="4" name="Graphique 3">
          <a:extLst>
            <a:ext uri="{FF2B5EF4-FFF2-40B4-BE49-F238E27FC236}">
              <a16:creationId xmlns:a16="http://schemas.microsoft.com/office/drawing/2014/main" id="{BAFEC440-9D8D-4020-BE67-FA42EBCEEF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581025</xdr:colOff>
      <xdr:row>40</xdr:row>
      <xdr:rowOff>147637</xdr:rowOff>
    </xdr:from>
    <xdr:to>
      <xdr:col>12</xdr:col>
      <xdr:colOff>85725</xdr:colOff>
      <xdr:row>54</xdr:row>
      <xdr:rowOff>14287</xdr:rowOff>
    </xdr:to>
    <xdr:graphicFrame macro="">
      <xdr:nvGraphicFramePr>
        <xdr:cNvPr id="5" name="Graphique 4">
          <a:extLst>
            <a:ext uri="{FF2B5EF4-FFF2-40B4-BE49-F238E27FC236}">
              <a16:creationId xmlns:a16="http://schemas.microsoft.com/office/drawing/2014/main" id="{4D76F5BD-3BC5-907D-4C95-013FF57A2C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561975</xdr:colOff>
      <xdr:row>55</xdr:row>
      <xdr:rowOff>33337</xdr:rowOff>
    </xdr:from>
    <xdr:to>
      <xdr:col>12</xdr:col>
      <xdr:colOff>66675</xdr:colOff>
      <xdr:row>68</xdr:row>
      <xdr:rowOff>90487</xdr:rowOff>
    </xdr:to>
    <xdr:graphicFrame macro="">
      <xdr:nvGraphicFramePr>
        <xdr:cNvPr id="6" name="Graphique 5">
          <a:extLst>
            <a:ext uri="{FF2B5EF4-FFF2-40B4-BE49-F238E27FC236}">
              <a16:creationId xmlns:a16="http://schemas.microsoft.com/office/drawing/2014/main" id="{C7A63CFB-C450-AC7F-A311-E8134E0898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342900</xdr:colOff>
      <xdr:row>45</xdr:row>
      <xdr:rowOff>61912</xdr:rowOff>
    </xdr:from>
    <xdr:to>
      <xdr:col>18</xdr:col>
      <xdr:colOff>409575</xdr:colOff>
      <xdr:row>57</xdr:row>
      <xdr:rowOff>300037</xdr:rowOff>
    </xdr:to>
    <xdr:graphicFrame macro="">
      <xdr:nvGraphicFramePr>
        <xdr:cNvPr id="3" name="Graphique 2">
          <a:extLst>
            <a:ext uri="{FF2B5EF4-FFF2-40B4-BE49-F238E27FC236}">
              <a16:creationId xmlns:a16="http://schemas.microsoft.com/office/drawing/2014/main" id="{42727CBC-EC9F-A527-33FA-545A580453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323850</xdr:colOff>
      <xdr:row>62</xdr:row>
      <xdr:rowOff>23812</xdr:rowOff>
    </xdr:from>
    <xdr:to>
      <xdr:col>18</xdr:col>
      <xdr:colOff>390525</xdr:colOff>
      <xdr:row>74</xdr:row>
      <xdr:rowOff>80962</xdr:rowOff>
    </xdr:to>
    <xdr:graphicFrame macro="">
      <xdr:nvGraphicFramePr>
        <xdr:cNvPr id="7" name="Graphique 6">
          <a:extLst>
            <a:ext uri="{FF2B5EF4-FFF2-40B4-BE49-F238E27FC236}">
              <a16:creationId xmlns:a16="http://schemas.microsoft.com/office/drawing/2014/main" id="{3FCCA403-3B67-7B00-4E88-408CBFAD4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333374</xdr:colOff>
      <xdr:row>67</xdr:row>
      <xdr:rowOff>109536</xdr:rowOff>
    </xdr:from>
    <xdr:to>
      <xdr:col>16</xdr:col>
      <xdr:colOff>266699</xdr:colOff>
      <xdr:row>87</xdr:row>
      <xdr:rowOff>76199</xdr:rowOff>
    </xdr:to>
    <xdr:graphicFrame macro="">
      <xdr:nvGraphicFramePr>
        <xdr:cNvPr id="8" name="Graphique 7">
          <a:extLst>
            <a:ext uri="{FF2B5EF4-FFF2-40B4-BE49-F238E27FC236}">
              <a16:creationId xmlns:a16="http://schemas.microsoft.com/office/drawing/2014/main" id="{6D854BA9-6577-B0DE-BF98-A7BCADD4DA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447675</xdr:colOff>
      <xdr:row>27</xdr:row>
      <xdr:rowOff>47625</xdr:rowOff>
    </xdr:from>
    <xdr:to>
      <xdr:col>20</xdr:col>
      <xdr:colOff>9525</xdr:colOff>
      <xdr:row>42</xdr:row>
      <xdr:rowOff>38101</xdr:rowOff>
    </xdr:to>
    <xdr:sp macro="" textlink="">
      <xdr:nvSpPr>
        <xdr:cNvPr id="3" name="Rectangle : coins arrondis 2">
          <a:extLst>
            <a:ext uri="{FF2B5EF4-FFF2-40B4-BE49-F238E27FC236}">
              <a16:creationId xmlns:a16="http://schemas.microsoft.com/office/drawing/2014/main" id="{B7EFC005-33BD-4FC4-9189-528D575981D2}"/>
            </a:ext>
          </a:extLst>
        </xdr:cNvPr>
        <xdr:cNvSpPr/>
      </xdr:nvSpPr>
      <xdr:spPr>
        <a:xfrm>
          <a:off x="11877675" y="5191125"/>
          <a:ext cx="3390900" cy="2847976"/>
        </a:xfrm>
        <a:prstGeom prst="roundRect">
          <a:avLst/>
        </a:prstGeom>
        <a:solidFill>
          <a:srgbClr val="765023"/>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fr-FR" sz="1100">
            <a:solidFill>
              <a:schemeClr val="dk1"/>
            </a:solidFill>
            <a:latin typeface="+mn-lt"/>
            <a:ea typeface="+mn-ea"/>
            <a:cs typeface="+mn-cs"/>
          </a:endParaRPr>
        </a:p>
      </xdr:txBody>
    </xdr:sp>
    <xdr:clientData/>
  </xdr:twoCellAnchor>
  <xdr:twoCellAnchor>
    <xdr:from>
      <xdr:col>11</xdr:col>
      <xdr:colOff>114300</xdr:colOff>
      <xdr:row>27</xdr:row>
      <xdr:rowOff>38100</xdr:rowOff>
    </xdr:from>
    <xdr:to>
      <xdr:col>15</xdr:col>
      <xdr:colOff>381000</xdr:colOff>
      <xdr:row>42</xdr:row>
      <xdr:rowOff>28576</xdr:rowOff>
    </xdr:to>
    <xdr:sp macro="" textlink="">
      <xdr:nvSpPr>
        <xdr:cNvPr id="44" name="Rectangle : coins arrondis 43">
          <a:extLst>
            <a:ext uri="{FF2B5EF4-FFF2-40B4-BE49-F238E27FC236}">
              <a16:creationId xmlns:a16="http://schemas.microsoft.com/office/drawing/2014/main" id="{B04EF789-B598-46B5-BB37-2841C105FC96}"/>
            </a:ext>
          </a:extLst>
        </xdr:cNvPr>
        <xdr:cNvSpPr/>
      </xdr:nvSpPr>
      <xdr:spPr>
        <a:xfrm>
          <a:off x="8496300" y="5181600"/>
          <a:ext cx="3314700" cy="2847976"/>
        </a:xfrm>
        <a:prstGeom prst="roundRect">
          <a:avLst/>
        </a:prstGeom>
        <a:solidFill>
          <a:srgbClr val="765023"/>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fr-FR" sz="1100">
            <a:solidFill>
              <a:schemeClr val="dk1"/>
            </a:solidFill>
            <a:latin typeface="+mn-lt"/>
            <a:ea typeface="+mn-ea"/>
            <a:cs typeface="+mn-cs"/>
          </a:endParaRPr>
        </a:p>
      </xdr:txBody>
    </xdr:sp>
    <xdr:clientData/>
  </xdr:twoCellAnchor>
  <xdr:twoCellAnchor>
    <xdr:from>
      <xdr:col>6</xdr:col>
      <xdr:colOff>400050</xdr:colOff>
      <xdr:row>27</xdr:row>
      <xdr:rowOff>47625</xdr:rowOff>
    </xdr:from>
    <xdr:to>
      <xdr:col>11</xdr:col>
      <xdr:colOff>28575</xdr:colOff>
      <xdr:row>42</xdr:row>
      <xdr:rowOff>38101</xdr:rowOff>
    </xdr:to>
    <xdr:sp macro="" textlink="">
      <xdr:nvSpPr>
        <xdr:cNvPr id="43" name="Rectangle : coins arrondis 42">
          <a:extLst>
            <a:ext uri="{FF2B5EF4-FFF2-40B4-BE49-F238E27FC236}">
              <a16:creationId xmlns:a16="http://schemas.microsoft.com/office/drawing/2014/main" id="{05A45C12-7A1A-46D7-AEBD-1EC8A1393F9C}"/>
            </a:ext>
          </a:extLst>
        </xdr:cNvPr>
        <xdr:cNvSpPr/>
      </xdr:nvSpPr>
      <xdr:spPr>
        <a:xfrm>
          <a:off x="4972050" y="5191125"/>
          <a:ext cx="3438525" cy="2847976"/>
        </a:xfrm>
        <a:prstGeom prst="roundRect">
          <a:avLst/>
        </a:prstGeom>
        <a:solidFill>
          <a:srgbClr val="765023"/>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fr-FR" sz="1100">
            <a:solidFill>
              <a:schemeClr val="dk1"/>
            </a:solidFill>
            <a:latin typeface="+mn-lt"/>
            <a:ea typeface="+mn-ea"/>
            <a:cs typeface="+mn-cs"/>
          </a:endParaRPr>
        </a:p>
      </xdr:txBody>
    </xdr:sp>
    <xdr:clientData/>
  </xdr:twoCellAnchor>
  <xdr:twoCellAnchor>
    <xdr:from>
      <xdr:col>2</xdr:col>
      <xdr:colOff>152401</xdr:colOff>
      <xdr:row>27</xdr:row>
      <xdr:rowOff>47625</xdr:rowOff>
    </xdr:from>
    <xdr:to>
      <xdr:col>6</xdr:col>
      <xdr:colOff>323851</xdr:colOff>
      <xdr:row>42</xdr:row>
      <xdr:rowOff>9525</xdr:rowOff>
    </xdr:to>
    <xdr:sp macro="" textlink="">
      <xdr:nvSpPr>
        <xdr:cNvPr id="40" name="Rectangle : coins arrondis 39">
          <a:extLst>
            <a:ext uri="{FF2B5EF4-FFF2-40B4-BE49-F238E27FC236}">
              <a16:creationId xmlns:a16="http://schemas.microsoft.com/office/drawing/2014/main" id="{C94D6E3F-46DA-475C-A065-9C9278BB9711}"/>
            </a:ext>
          </a:extLst>
        </xdr:cNvPr>
        <xdr:cNvSpPr/>
      </xdr:nvSpPr>
      <xdr:spPr>
        <a:xfrm>
          <a:off x="1676401" y="5191125"/>
          <a:ext cx="3219450" cy="2819400"/>
        </a:xfrm>
        <a:prstGeom prst="roundRect">
          <a:avLst/>
        </a:prstGeom>
        <a:solidFill>
          <a:srgbClr val="765023"/>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fr-FR" sz="1100">
            <a:solidFill>
              <a:schemeClr val="dk1"/>
            </a:solidFill>
            <a:latin typeface="+mn-lt"/>
            <a:ea typeface="+mn-ea"/>
            <a:cs typeface="+mn-cs"/>
          </a:endParaRPr>
        </a:p>
      </xdr:txBody>
    </xdr:sp>
    <xdr:clientData/>
  </xdr:twoCellAnchor>
  <xdr:twoCellAnchor>
    <xdr:from>
      <xdr:col>0</xdr:col>
      <xdr:colOff>47625</xdr:colOff>
      <xdr:row>0</xdr:row>
      <xdr:rowOff>28575</xdr:rowOff>
    </xdr:from>
    <xdr:to>
      <xdr:col>2</xdr:col>
      <xdr:colOff>9525</xdr:colOff>
      <xdr:row>42</xdr:row>
      <xdr:rowOff>66675</xdr:rowOff>
    </xdr:to>
    <xdr:sp macro="" textlink="">
      <xdr:nvSpPr>
        <xdr:cNvPr id="2" name="Rectangle : coins arrondis 1">
          <a:extLst>
            <a:ext uri="{FF2B5EF4-FFF2-40B4-BE49-F238E27FC236}">
              <a16:creationId xmlns:a16="http://schemas.microsoft.com/office/drawing/2014/main" id="{BB37B718-4754-4327-86DD-AB4812637AF2}"/>
            </a:ext>
          </a:extLst>
        </xdr:cNvPr>
        <xdr:cNvSpPr/>
      </xdr:nvSpPr>
      <xdr:spPr>
        <a:xfrm>
          <a:off x="47625" y="28575"/>
          <a:ext cx="1485900" cy="8039100"/>
        </a:xfrm>
        <a:prstGeom prst="roundRect">
          <a:avLst/>
        </a:prstGeom>
        <a:solidFill>
          <a:srgbClr val="765023"/>
        </a:solidFill>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fr-FR" sz="1100"/>
        </a:p>
      </xdr:txBody>
    </xdr:sp>
    <xdr:clientData/>
  </xdr:twoCellAnchor>
  <xdr:twoCellAnchor>
    <xdr:from>
      <xdr:col>1</xdr:col>
      <xdr:colOff>95248</xdr:colOff>
      <xdr:row>0</xdr:row>
      <xdr:rowOff>47625</xdr:rowOff>
    </xdr:from>
    <xdr:to>
      <xdr:col>22</xdr:col>
      <xdr:colOff>603251</xdr:colOff>
      <xdr:row>5</xdr:row>
      <xdr:rowOff>123825</xdr:rowOff>
    </xdr:to>
    <xdr:sp macro="" textlink="">
      <xdr:nvSpPr>
        <xdr:cNvPr id="4" name="Rectangle : coins arrondis 3">
          <a:extLst>
            <a:ext uri="{FF2B5EF4-FFF2-40B4-BE49-F238E27FC236}">
              <a16:creationId xmlns:a16="http://schemas.microsoft.com/office/drawing/2014/main" id="{9DBF2F81-4611-45A8-A6EE-39B04436BDAB}"/>
            </a:ext>
          </a:extLst>
        </xdr:cNvPr>
        <xdr:cNvSpPr/>
      </xdr:nvSpPr>
      <xdr:spPr>
        <a:xfrm>
          <a:off x="857248" y="47625"/>
          <a:ext cx="16531170" cy="1028700"/>
        </a:xfrm>
        <a:prstGeom prst="roundRect">
          <a:avLst/>
        </a:prstGeom>
        <a:solidFill>
          <a:srgbClr val="765023"/>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fr-FR" sz="4400" b="1" u="sng">
              <a:solidFill>
                <a:schemeClr val="bg1"/>
              </a:solidFill>
              <a:latin typeface="Colonna MT" panose="04020805060202030203" pitchFamily="82" charset="0"/>
            </a:rPr>
            <a:t>DASHBOARD</a:t>
          </a:r>
        </a:p>
      </xdr:txBody>
    </xdr:sp>
    <xdr:clientData/>
  </xdr:twoCellAnchor>
  <xdr:twoCellAnchor>
    <xdr:from>
      <xdr:col>9</xdr:col>
      <xdr:colOff>142874</xdr:colOff>
      <xdr:row>11</xdr:row>
      <xdr:rowOff>171449</xdr:rowOff>
    </xdr:from>
    <xdr:to>
      <xdr:col>14</xdr:col>
      <xdr:colOff>247649</xdr:colOff>
      <xdr:row>26</xdr:row>
      <xdr:rowOff>161925</xdr:rowOff>
    </xdr:to>
    <xdr:sp macro="" textlink="">
      <xdr:nvSpPr>
        <xdr:cNvPr id="6" name="Rectangle : coins arrondis 5">
          <a:extLst>
            <a:ext uri="{FF2B5EF4-FFF2-40B4-BE49-F238E27FC236}">
              <a16:creationId xmlns:a16="http://schemas.microsoft.com/office/drawing/2014/main" id="{B0FD6EF8-3686-4101-8161-8013DC657333}"/>
            </a:ext>
          </a:extLst>
        </xdr:cNvPr>
        <xdr:cNvSpPr/>
      </xdr:nvSpPr>
      <xdr:spPr>
        <a:xfrm>
          <a:off x="7000874" y="2266949"/>
          <a:ext cx="3914775" cy="2847976"/>
        </a:xfrm>
        <a:prstGeom prst="roundRect">
          <a:avLst/>
        </a:prstGeom>
        <a:solidFill>
          <a:srgbClr val="765023"/>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fr-FR" sz="1100">
            <a:solidFill>
              <a:schemeClr val="dk1"/>
            </a:solidFill>
            <a:latin typeface="+mn-lt"/>
            <a:ea typeface="+mn-ea"/>
            <a:cs typeface="+mn-cs"/>
          </a:endParaRPr>
        </a:p>
      </xdr:txBody>
    </xdr:sp>
    <xdr:clientData/>
  </xdr:twoCellAnchor>
  <xdr:twoCellAnchor>
    <xdr:from>
      <xdr:col>2</xdr:col>
      <xdr:colOff>38100</xdr:colOff>
      <xdr:row>11</xdr:row>
      <xdr:rowOff>171447</xdr:rowOff>
    </xdr:from>
    <xdr:to>
      <xdr:col>9</xdr:col>
      <xdr:colOff>0</xdr:colOff>
      <xdr:row>26</xdr:row>
      <xdr:rowOff>152400</xdr:rowOff>
    </xdr:to>
    <xdr:sp macro="" textlink="">
      <xdr:nvSpPr>
        <xdr:cNvPr id="7" name="Rectangle : coins arrondis 6">
          <a:extLst>
            <a:ext uri="{FF2B5EF4-FFF2-40B4-BE49-F238E27FC236}">
              <a16:creationId xmlns:a16="http://schemas.microsoft.com/office/drawing/2014/main" id="{8B48218F-8C8F-4F15-AABA-02D8AF4D634C}"/>
            </a:ext>
          </a:extLst>
        </xdr:cNvPr>
        <xdr:cNvSpPr/>
      </xdr:nvSpPr>
      <xdr:spPr>
        <a:xfrm>
          <a:off x="1562100" y="2266947"/>
          <a:ext cx="5295900" cy="2838453"/>
        </a:xfrm>
        <a:prstGeom prst="roundRect">
          <a:avLst/>
        </a:prstGeom>
        <a:solidFill>
          <a:srgbClr val="765023"/>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fr-FR" sz="1100"/>
        </a:p>
      </xdr:txBody>
    </xdr:sp>
    <xdr:clientData/>
  </xdr:twoCellAnchor>
  <xdr:twoCellAnchor>
    <xdr:from>
      <xdr:col>5</xdr:col>
      <xdr:colOff>352426</xdr:colOff>
      <xdr:row>5</xdr:row>
      <xdr:rowOff>190499</xdr:rowOff>
    </xdr:from>
    <xdr:to>
      <xdr:col>8</xdr:col>
      <xdr:colOff>676276</xdr:colOff>
      <xdr:row>11</xdr:row>
      <xdr:rowOff>76200</xdr:rowOff>
    </xdr:to>
    <xdr:sp macro="" textlink="TCD!B4">
      <xdr:nvSpPr>
        <xdr:cNvPr id="10" name="Rectangle : coins arrondis 9">
          <a:extLst>
            <a:ext uri="{FF2B5EF4-FFF2-40B4-BE49-F238E27FC236}">
              <a16:creationId xmlns:a16="http://schemas.microsoft.com/office/drawing/2014/main" id="{794B3FC1-4626-4D0B-95CD-5BA61A717F6C}"/>
            </a:ext>
          </a:extLst>
        </xdr:cNvPr>
        <xdr:cNvSpPr/>
      </xdr:nvSpPr>
      <xdr:spPr>
        <a:xfrm>
          <a:off x="4162426" y="1142999"/>
          <a:ext cx="2609850" cy="1028701"/>
        </a:xfrm>
        <a:prstGeom prst="roundRect">
          <a:avLst/>
        </a:prstGeom>
        <a:solidFill>
          <a:srgbClr val="FFC000"/>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ctr"/>
          <a:fld id="{418FCCB6-2369-44C2-B86D-C2FCEF1F2CE4}" type="TxLink">
            <a:rPr lang="en-US" sz="2400" b="1" i="0" u="none" strike="noStrike">
              <a:ln w="9525">
                <a:noFill/>
              </a:ln>
              <a:solidFill>
                <a:srgbClr val="765023"/>
              </a:solidFill>
              <a:latin typeface="Calibri"/>
              <a:ea typeface="Calibri"/>
              <a:cs typeface="Calibri"/>
            </a:rPr>
            <a:pPr marL="0" indent="0" algn="ctr"/>
            <a:t>105</a:t>
          </a:fld>
          <a:endParaRPr lang="en-US" sz="2400" b="1" i="0" u="none" strike="noStrike">
            <a:ln w="9525">
              <a:noFill/>
            </a:ln>
            <a:solidFill>
              <a:srgbClr val="765023"/>
            </a:solidFill>
            <a:latin typeface="Calibri"/>
            <a:ea typeface="Calibri"/>
            <a:cs typeface="Calibri"/>
          </a:endParaRPr>
        </a:p>
      </xdr:txBody>
    </xdr:sp>
    <xdr:clientData/>
  </xdr:twoCellAnchor>
  <xdr:twoCellAnchor>
    <xdr:from>
      <xdr:col>9</xdr:col>
      <xdr:colOff>38099</xdr:colOff>
      <xdr:row>6</xdr:row>
      <xdr:rowOff>0</xdr:rowOff>
    </xdr:from>
    <xdr:to>
      <xdr:col>12</xdr:col>
      <xdr:colOff>152400</xdr:colOff>
      <xdr:row>11</xdr:row>
      <xdr:rowOff>66675</xdr:rowOff>
    </xdr:to>
    <xdr:sp macro="" textlink="TCD!B8">
      <xdr:nvSpPr>
        <xdr:cNvPr id="13" name="Rectangle : coins arrondis 12">
          <a:extLst>
            <a:ext uri="{FF2B5EF4-FFF2-40B4-BE49-F238E27FC236}">
              <a16:creationId xmlns:a16="http://schemas.microsoft.com/office/drawing/2014/main" id="{D72580A5-CC03-447A-A628-F9A290E73682}"/>
            </a:ext>
          </a:extLst>
        </xdr:cNvPr>
        <xdr:cNvSpPr/>
      </xdr:nvSpPr>
      <xdr:spPr>
        <a:xfrm>
          <a:off x="6896099" y="1143000"/>
          <a:ext cx="2400301" cy="1019175"/>
        </a:xfrm>
        <a:prstGeom prst="roundRect">
          <a:avLst/>
        </a:prstGeom>
        <a:solidFill>
          <a:srgbClr val="FFC000"/>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ctr"/>
          <a:fld id="{D00EA213-4CFD-46CB-B1EF-5A2DD8B8473D}" type="TxLink">
            <a:rPr lang="en-US" sz="2400" b="1" i="0" u="none" strike="noStrike">
              <a:ln w="9525">
                <a:noFill/>
              </a:ln>
              <a:solidFill>
                <a:srgbClr val="765023"/>
              </a:solidFill>
              <a:latin typeface="Calibri"/>
              <a:ea typeface="Calibri"/>
              <a:cs typeface="Calibri"/>
            </a:rPr>
            <a:pPr marL="0" indent="0" algn="ctr"/>
            <a:t>561 256 €</a:t>
          </a:fld>
          <a:endParaRPr lang="fr-FR" sz="2400" b="1" i="0" u="none" strike="noStrike">
            <a:ln w="9525">
              <a:noFill/>
            </a:ln>
            <a:solidFill>
              <a:srgbClr val="765023"/>
            </a:solidFill>
            <a:latin typeface="Calibri"/>
            <a:ea typeface="Calibri"/>
            <a:cs typeface="Calibri"/>
          </a:endParaRPr>
        </a:p>
      </xdr:txBody>
    </xdr:sp>
    <xdr:clientData/>
  </xdr:twoCellAnchor>
  <xdr:twoCellAnchor editAs="oneCell">
    <xdr:from>
      <xdr:col>0</xdr:col>
      <xdr:colOff>0</xdr:colOff>
      <xdr:row>0</xdr:row>
      <xdr:rowOff>0</xdr:rowOff>
    </xdr:from>
    <xdr:to>
      <xdr:col>6</xdr:col>
      <xdr:colOff>190500</xdr:colOff>
      <xdr:row>8</xdr:row>
      <xdr:rowOff>47625</xdr:rowOff>
    </xdr:to>
    <xdr:pic>
      <xdr:nvPicPr>
        <xdr:cNvPr id="27" name="Image 26" descr="BELLA AURA Antioxidant Booster 30ml – Patch and Go">
          <a:extLst>
            <a:ext uri="{FF2B5EF4-FFF2-40B4-BE49-F238E27FC236}">
              <a16:creationId xmlns:a16="http://schemas.microsoft.com/office/drawing/2014/main" id="{7AF91D4E-0E4A-E190-F05D-3A295EB716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4762500" cy="1571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285751</xdr:colOff>
      <xdr:row>5</xdr:row>
      <xdr:rowOff>171450</xdr:rowOff>
    </xdr:from>
    <xdr:to>
      <xdr:col>15</xdr:col>
      <xdr:colOff>514351</xdr:colOff>
      <xdr:row>11</xdr:row>
      <xdr:rowOff>47625</xdr:rowOff>
    </xdr:to>
    <xdr:sp macro="" textlink="TCD!B12">
      <xdr:nvSpPr>
        <xdr:cNvPr id="29" name="Rectangle : coins arrondis 28">
          <a:extLst>
            <a:ext uri="{FF2B5EF4-FFF2-40B4-BE49-F238E27FC236}">
              <a16:creationId xmlns:a16="http://schemas.microsoft.com/office/drawing/2014/main" id="{8EAAFA45-85F0-4626-95F9-766CDA20B407}"/>
            </a:ext>
          </a:extLst>
        </xdr:cNvPr>
        <xdr:cNvSpPr/>
      </xdr:nvSpPr>
      <xdr:spPr>
        <a:xfrm>
          <a:off x="9429751" y="1123950"/>
          <a:ext cx="2514600" cy="1019175"/>
        </a:xfrm>
        <a:prstGeom prst="roundRect">
          <a:avLst/>
        </a:prstGeom>
        <a:solidFill>
          <a:srgbClr val="FFC000"/>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ctr"/>
          <a:fld id="{FD031C91-F232-44BF-B255-FB9BCD3EBFC8}" type="TxLink">
            <a:rPr lang="en-US" sz="2400" b="1" i="0" u="none" strike="noStrike">
              <a:ln w="9525">
                <a:noFill/>
              </a:ln>
              <a:solidFill>
                <a:srgbClr val="765023"/>
              </a:solidFill>
              <a:latin typeface="Calibri"/>
              <a:ea typeface="Calibri"/>
              <a:cs typeface="Calibri"/>
            </a:rPr>
            <a:pPr marL="0" indent="0" algn="ctr"/>
            <a:t>9,07%</a:t>
          </a:fld>
          <a:endParaRPr lang="fr-FR" sz="2400" b="1" i="0" u="none" strike="noStrike">
            <a:ln w="9525">
              <a:noFill/>
            </a:ln>
            <a:solidFill>
              <a:srgbClr val="765023"/>
            </a:solidFill>
            <a:latin typeface="Calibri"/>
            <a:ea typeface="Calibri"/>
            <a:cs typeface="Calibri"/>
          </a:endParaRPr>
        </a:p>
      </xdr:txBody>
    </xdr:sp>
    <xdr:clientData/>
  </xdr:twoCellAnchor>
  <xdr:twoCellAnchor>
    <xdr:from>
      <xdr:col>15</xdr:col>
      <xdr:colOff>628650</xdr:colOff>
      <xdr:row>5</xdr:row>
      <xdr:rowOff>180975</xdr:rowOff>
    </xdr:from>
    <xdr:to>
      <xdr:col>19</xdr:col>
      <xdr:colOff>495301</xdr:colOff>
      <xdr:row>11</xdr:row>
      <xdr:rowOff>57150</xdr:rowOff>
    </xdr:to>
    <xdr:sp macro="" textlink="TCD!B16">
      <xdr:nvSpPr>
        <xdr:cNvPr id="30" name="Rectangle : coins arrondis 29">
          <a:extLst>
            <a:ext uri="{FF2B5EF4-FFF2-40B4-BE49-F238E27FC236}">
              <a16:creationId xmlns:a16="http://schemas.microsoft.com/office/drawing/2014/main" id="{7BDD4A25-FD6B-4F4A-B4D6-DD9B102B79F7}"/>
            </a:ext>
          </a:extLst>
        </xdr:cNvPr>
        <xdr:cNvSpPr/>
      </xdr:nvSpPr>
      <xdr:spPr>
        <a:xfrm>
          <a:off x="12058650" y="1133475"/>
          <a:ext cx="2914651" cy="1019175"/>
        </a:xfrm>
        <a:prstGeom prst="roundRect">
          <a:avLst/>
        </a:prstGeom>
        <a:solidFill>
          <a:srgbClr val="FFC000"/>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ctr"/>
          <a:fld id="{7BAD328A-E47A-4493-9E87-2CB8E157EF2E}" type="TxLink">
            <a:rPr lang="en-US" sz="2400" b="1" i="0" u="none" strike="noStrike">
              <a:ln w="9525">
                <a:noFill/>
              </a:ln>
              <a:solidFill>
                <a:srgbClr val="765023"/>
              </a:solidFill>
              <a:latin typeface="Calibri"/>
              <a:ea typeface="Calibri"/>
              <a:cs typeface="Calibri"/>
            </a:rPr>
            <a:pPr marL="0" indent="0" algn="ctr"/>
            <a:t>161,77%</a:t>
          </a:fld>
          <a:endParaRPr lang="fr-FR" sz="2400" b="1" i="0" u="none" strike="noStrike">
            <a:ln w="9525">
              <a:noFill/>
            </a:ln>
            <a:solidFill>
              <a:srgbClr val="765023"/>
            </a:solidFill>
            <a:latin typeface="Calibri"/>
            <a:ea typeface="Calibri"/>
            <a:cs typeface="Calibri"/>
          </a:endParaRPr>
        </a:p>
      </xdr:txBody>
    </xdr:sp>
    <xdr:clientData/>
  </xdr:twoCellAnchor>
  <xdr:twoCellAnchor>
    <xdr:from>
      <xdr:col>5</xdr:col>
      <xdr:colOff>400049</xdr:colOff>
      <xdr:row>6</xdr:row>
      <xdr:rowOff>0</xdr:rowOff>
    </xdr:from>
    <xdr:to>
      <xdr:col>8</xdr:col>
      <xdr:colOff>238124</xdr:colOff>
      <xdr:row>7</xdr:row>
      <xdr:rowOff>57150</xdr:rowOff>
    </xdr:to>
    <xdr:sp macro="" textlink="">
      <xdr:nvSpPr>
        <xdr:cNvPr id="32" name="ZoneTexte 31">
          <a:extLst>
            <a:ext uri="{FF2B5EF4-FFF2-40B4-BE49-F238E27FC236}">
              <a16:creationId xmlns:a16="http://schemas.microsoft.com/office/drawing/2014/main" id="{F521D017-FAC2-431F-92FC-6D743B9F94DE}"/>
            </a:ext>
          </a:extLst>
        </xdr:cNvPr>
        <xdr:cNvSpPr txBox="1"/>
      </xdr:nvSpPr>
      <xdr:spPr>
        <a:xfrm>
          <a:off x="4210049" y="1143000"/>
          <a:ext cx="21240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fr-FR" sz="1200" b="1" u="none">
              <a:ln>
                <a:noFill/>
              </a:ln>
              <a:solidFill>
                <a:srgbClr val="765023"/>
              </a:solidFill>
              <a:latin typeface="+mn-lt"/>
              <a:ea typeface="+mn-ea"/>
              <a:cs typeface="+mn-cs"/>
            </a:rPr>
            <a:t>Nombre total de campagnes</a:t>
          </a:r>
        </a:p>
      </xdr:txBody>
    </xdr:sp>
    <xdr:clientData/>
  </xdr:twoCellAnchor>
  <xdr:twoCellAnchor>
    <xdr:from>
      <xdr:col>9</xdr:col>
      <xdr:colOff>104775</xdr:colOff>
      <xdr:row>6</xdr:row>
      <xdr:rowOff>9525</xdr:rowOff>
    </xdr:from>
    <xdr:to>
      <xdr:col>11</xdr:col>
      <xdr:colOff>390525</xdr:colOff>
      <xdr:row>7</xdr:row>
      <xdr:rowOff>66675</xdr:rowOff>
    </xdr:to>
    <xdr:sp macro="" textlink="">
      <xdr:nvSpPr>
        <xdr:cNvPr id="33" name="ZoneTexte 32">
          <a:extLst>
            <a:ext uri="{FF2B5EF4-FFF2-40B4-BE49-F238E27FC236}">
              <a16:creationId xmlns:a16="http://schemas.microsoft.com/office/drawing/2014/main" id="{D778BBC5-ECBF-4C83-B595-D23923DA6079}"/>
            </a:ext>
          </a:extLst>
        </xdr:cNvPr>
        <xdr:cNvSpPr txBox="1"/>
      </xdr:nvSpPr>
      <xdr:spPr>
        <a:xfrm>
          <a:off x="6962775" y="1152525"/>
          <a:ext cx="18097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fr-FR" sz="1200" b="1" u="none">
              <a:ln>
                <a:noFill/>
              </a:ln>
              <a:solidFill>
                <a:srgbClr val="765023"/>
              </a:solidFill>
              <a:latin typeface="+mn-lt"/>
              <a:ea typeface="+mn-ea"/>
              <a:cs typeface="+mn-cs"/>
            </a:rPr>
            <a:t>Budget Investi</a:t>
          </a:r>
        </a:p>
      </xdr:txBody>
    </xdr:sp>
    <xdr:clientData/>
  </xdr:twoCellAnchor>
  <xdr:twoCellAnchor>
    <xdr:from>
      <xdr:col>12</xdr:col>
      <xdr:colOff>371475</xdr:colOff>
      <xdr:row>6</xdr:row>
      <xdr:rowOff>9525</xdr:rowOff>
    </xdr:from>
    <xdr:to>
      <xdr:col>15</xdr:col>
      <xdr:colOff>104775</xdr:colOff>
      <xdr:row>7</xdr:row>
      <xdr:rowOff>66675</xdr:rowOff>
    </xdr:to>
    <xdr:sp macro="" textlink="">
      <xdr:nvSpPr>
        <xdr:cNvPr id="34" name="ZoneTexte 33">
          <a:extLst>
            <a:ext uri="{FF2B5EF4-FFF2-40B4-BE49-F238E27FC236}">
              <a16:creationId xmlns:a16="http://schemas.microsoft.com/office/drawing/2014/main" id="{BBD794E6-C970-4467-BDF4-DDAEC88933E2}"/>
            </a:ext>
          </a:extLst>
        </xdr:cNvPr>
        <xdr:cNvSpPr txBox="1"/>
      </xdr:nvSpPr>
      <xdr:spPr>
        <a:xfrm>
          <a:off x="9515475" y="1152525"/>
          <a:ext cx="2019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fr-FR" sz="1200" b="1" u="none">
              <a:ln>
                <a:noFill/>
              </a:ln>
              <a:solidFill>
                <a:srgbClr val="765023"/>
              </a:solidFill>
              <a:latin typeface="+mn-lt"/>
              <a:ea typeface="+mn-ea"/>
              <a:cs typeface="+mn-cs"/>
            </a:rPr>
            <a:t>Taux de conversion moyen</a:t>
          </a:r>
        </a:p>
      </xdr:txBody>
    </xdr:sp>
    <xdr:clientData/>
  </xdr:twoCellAnchor>
  <xdr:twoCellAnchor>
    <xdr:from>
      <xdr:col>15</xdr:col>
      <xdr:colOff>666750</xdr:colOff>
      <xdr:row>6</xdr:row>
      <xdr:rowOff>9525</xdr:rowOff>
    </xdr:from>
    <xdr:to>
      <xdr:col>18</xdr:col>
      <xdr:colOff>190500</xdr:colOff>
      <xdr:row>7</xdr:row>
      <xdr:rowOff>66675</xdr:rowOff>
    </xdr:to>
    <xdr:sp macro="" textlink="">
      <xdr:nvSpPr>
        <xdr:cNvPr id="35" name="ZoneTexte 34">
          <a:extLst>
            <a:ext uri="{FF2B5EF4-FFF2-40B4-BE49-F238E27FC236}">
              <a16:creationId xmlns:a16="http://schemas.microsoft.com/office/drawing/2014/main" id="{132669A3-EDA3-4D44-983F-0FA35E6D694B}"/>
            </a:ext>
          </a:extLst>
        </xdr:cNvPr>
        <xdr:cNvSpPr txBox="1"/>
      </xdr:nvSpPr>
      <xdr:spPr>
        <a:xfrm>
          <a:off x="12096750" y="1152525"/>
          <a:ext cx="18097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fr-FR" sz="1200" b="1" u="none">
              <a:ln>
                <a:noFill/>
              </a:ln>
              <a:solidFill>
                <a:srgbClr val="765023"/>
              </a:solidFill>
              <a:latin typeface="+mn-lt"/>
              <a:ea typeface="+mn-ea"/>
              <a:cs typeface="+mn-cs"/>
            </a:rPr>
            <a:t>ROI moyen</a:t>
          </a:r>
        </a:p>
        <a:p>
          <a:pPr marL="0" indent="0"/>
          <a:endParaRPr lang="fr-FR" sz="1200" b="1" u="none">
            <a:ln>
              <a:noFill/>
            </a:ln>
            <a:solidFill>
              <a:srgbClr val="765023"/>
            </a:solidFill>
            <a:latin typeface="+mn-lt"/>
            <a:ea typeface="+mn-ea"/>
            <a:cs typeface="+mn-cs"/>
          </a:endParaRPr>
        </a:p>
      </xdr:txBody>
    </xdr:sp>
    <xdr:clientData/>
  </xdr:twoCellAnchor>
  <xdr:twoCellAnchor>
    <xdr:from>
      <xdr:col>2</xdr:col>
      <xdr:colOff>219074</xdr:colOff>
      <xdr:row>12</xdr:row>
      <xdr:rowOff>95250</xdr:rowOff>
    </xdr:from>
    <xdr:to>
      <xdr:col>8</xdr:col>
      <xdr:colOff>590550</xdr:colOff>
      <xdr:row>26</xdr:row>
      <xdr:rowOff>0</xdr:rowOff>
    </xdr:to>
    <xdr:graphicFrame macro="">
      <xdr:nvGraphicFramePr>
        <xdr:cNvPr id="36" name="Graphique 35">
          <a:extLst>
            <a:ext uri="{FF2B5EF4-FFF2-40B4-BE49-F238E27FC236}">
              <a16:creationId xmlns:a16="http://schemas.microsoft.com/office/drawing/2014/main" id="{56B55AED-958A-4A6F-8E82-97DC9F8CB3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457200</xdr:colOff>
      <xdr:row>12</xdr:row>
      <xdr:rowOff>123825</xdr:rowOff>
    </xdr:from>
    <xdr:to>
      <xdr:col>13</xdr:col>
      <xdr:colOff>733425</xdr:colOff>
      <xdr:row>26</xdr:row>
      <xdr:rowOff>47625</xdr:rowOff>
    </xdr:to>
    <xdr:graphicFrame macro="">
      <xdr:nvGraphicFramePr>
        <xdr:cNvPr id="37" name="Graphique 36">
          <a:extLst>
            <a:ext uri="{FF2B5EF4-FFF2-40B4-BE49-F238E27FC236}">
              <a16:creationId xmlns:a16="http://schemas.microsoft.com/office/drawing/2014/main" id="{388C0C79-658B-48C1-8359-6F2680DBA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438150</xdr:colOff>
      <xdr:row>11</xdr:row>
      <xdr:rowOff>171450</xdr:rowOff>
    </xdr:from>
    <xdr:to>
      <xdr:col>19</xdr:col>
      <xdr:colOff>762000</xdr:colOff>
      <xdr:row>26</xdr:row>
      <xdr:rowOff>161926</xdr:rowOff>
    </xdr:to>
    <xdr:sp macro="" textlink="">
      <xdr:nvSpPr>
        <xdr:cNvPr id="38" name="Rectangle : coins arrondis 37">
          <a:extLst>
            <a:ext uri="{FF2B5EF4-FFF2-40B4-BE49-F238E27FC236}">
              <a16:creationId xmlns:a16="http://schemas.microsoft.com/office/drawing/2014/main" id="{7438CB27-0483-4690-9316-70EA0B43A5E3}"/>
            </a:ext>
          </a:extLst>
        </xdr:cNvPr>
        <xdr:cNvSpPr/>
      </xdr:nvSpPr>
      <xdr:spPr>
        <a:xfrm>
          <a:off x="11106150" y="2266950"/>
          <a:ext cx="4133850" cy="2847976"/>
        </a:xfrm>
        <a:prstGeom prst="roundRect">
          <a:avLst/>
        </a:prstGeom>
        <a:solidFill>
          <a:srgbClr val="765023"/>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fr-FR" sz="1100">
            <a:solidFill>
              <a:schemeClr val="dk1"/>
            </a:solidFill>
            <a:latin typeface="+mn-lt"/>
            <a:ea typeface="+mn-ea"/>
            <a:cs typeface="+mn-cs"/>
          </a:endParaRPr>
        </a:p>
      </xdr:txBody>
    </xdr:sp>
    <xdr:clientData/>
  </xdr:twoCellAnchor>
  <xdr:twoCellAnchor>
    <xdr:from>
      <xdr:col>2</xdr:col>
      <xdr:colOff>276225</xdr:colOff>
      <xdr:row>28</xdr:row>
      <xdr:rowOff>66675</xdr:rowOff>
    </xdr:from>
    <xdr:to>
      <xdr:col>6</xdr:col>
      <xdr:colOff>209550</xdr:colOff>
      <xdr:row>40</xdr:row>
      <xdr:rowOff>76200</xdr:rowOff>
    </xdr:to>
    <xdr:graphicFrame macro="">
      <xdr:nvGraphicFramePr>
        <xdr:cNvPr id="39" name="Graphique 38">
          <a:extLst>
            <a:ext uri="{FF2B5EF4-FFF2-40B4-BE49-F238E27FC236}">
              <a16:creationId xmlns:a16="http://schemas.microsoft.com/office/drawing/2014/main" id="{7D038F46-ADBE-42A9-B98B-F87D5BE3D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600076</xdr:colOff>
      <xdr:row>28</xdr:row>
      <xdr:rowOff>9524</xdr:rowOff>
    </xdr:from>
    <xdr:to>
      <xdr:col>19</xdr:col>
      <xdr:colOff>619126</xdr:colOff>
      <xdr:row>41</xdr:row>
      <xdr:rowOff>57149</xdr:rowOff>
    </xdr:to>
    <xdr:graphicFrame macro="">
      <xdr:nvGraphicFramePr>
        <xdr:cNvPr id="41" name="Graphique 40">
          <a:extLst>
            <a:ext uri="{FF2B5EF4-FFF2-40B4-BE49-F238E27FC236}">
              <a16:creationId xmlns:a16="http://schemas.microsoft.com/office/drawing/2014/main" id="{147E38B1-A89E-4FB0-87E5-EBFA910E3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561976</xdr:colOff>
      <xdr:row>27</xdr:row>
      <xdr:rowOff>161925</xdr:rowOff>
    </xdr:from>
    <xdr:to>
      <xdr:col>10</xdr:col>
      <xdr:colOff>581026</xdr:colOff>
      <xdr:row>41</xdr:row>
      <xdr:rowOff>76200</xdr:rowOff>
    </xdr:to>
    <xdr:graphicFrame macro="">
      <xdr:nvGraphicFramePr>
        <xdr:cNvPr id="8" name="Graphique 7">
          <a:extLst>
            <a:ext uri="{FF2B5EF4-FFF2-40B4-BE49-F238E27FC236}">
              <a16:creationId xmlns:a16="http://schemas.microsoft.com/office/drawing/2014/main" id="{6166C5B3-A8B0-4897-B751-44ABDFF21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200026</xdr:colOff>
      <xdr:row>28</xdr:row>
      <xdr:rowOff>76201</xdr:rowOff>
    </xdr:from>
    <xdr:to>
      <xdr:col>15</xdr:col>
      <xdr:colOff>314326</xdr:colOff>
      <xdr:row>40</xdr:row>
      <xdr:rowOff>76200</xdr:rowOff>
    </xdr:to>
    <xdr:graphicFrame macro="">
      <xdr:nvGraphicFramePr>
        <xdr:cNvPr id="9" name="Graphique 8">
          <a:extLst>
            <a:ext uri="{FF2B5EF4-FFF2-40B4-BE49-F238E27FC236}">
              <a16:creationId xmlns:a16="http://schemas.microsoft.com/office/drawing/2014/main" id="{B740D314-1FD4-4EFE-83A0-4556226F06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9526</xdr:colOff>
      <xdr:row>12</xdr:row>
      <xdr:rowOff>76200</xdr:rowOff>
    </xdr:from>
    <xdr:to>
      <xdr:col>19</xdr:col>
      <xdr:colOff>266700</xdr:colOff>
      <xdr:row>26</xdr:row>
      <xdr:rowOff>109538</xdr:rowOff>
    </xdr:to>
    <xdr:graphicFrame macro="">
      <xdr:nvGraphicFramePr>
        <xdr:cNvPr id="11" name="Graphique 10">
          <a:extLst>
            <a:ext uri="{FF2B5EF4-FFF2-40B4-BE49-F238E27FC236}">
              <a16:creationId xmlns:a16="http://schemas.microsoft.com/office/drawing/2014/main" id="{5C0EB2FF-ECA0-4DF1-B637-71B5AD1BA3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20</xdr:col>
      <xdr:colOff>275167</xdr:colOff>
      <xdr:row>6</xdr:row>
      <xdr:rowOff>31751</xdr:rowOff>
    </xdr:from>
    <xdr:to>
      <xdr:col>22</xdr:col>
      <xdr:colOff>579967</xdr:colOff>
      <xdr:row>12</xdr:row>
      <xdr:rowOff>63500</xdr:rowOff>
    </xdr:to>
    <mc:AlternateContent xmlns:mc="http://schemas.openxmlformats.org/markup-compatibility/2006" xmlns:a14="http://schemas.microsoft.com/office/drawing/2010/main">
      <mc:Choice Requires="a14">
        <xdr:graphicFrame macro="">
          <xdr:nvGraphicFramePr>
            <xdr:cNvPr id="17" name="Réseau Social">
              <a:extLst>
                <a:ext uri="{FF2B5EF4-FFF2-40B4-BE49-F238E27FC236}">
                  <a16:creationId xmlns:a16="http://schemas.microsoft.com/office/drawing/2014/main" id="{01F832EF-2FB9-4E29-B9A3-7701BC74FEED}"/>
                </a:ext>
              </a:extLst>
            </xdr:cNvPr>
            <xdr:cNvGraphicFramePr/>
          </xdr:nvGraphicFramePr>
          <xdr:xfrm>
            <a:off x="0" y="0"/>
            <a:ext cx="0" cy="0"/>
          </xdr:xfrm>
          <a:graphic>
            <a:graphicData uri="http://schemas.microsoft.com/office/drawing/2010/slicer">
              <sle:slicer xmlns:sle="http://schemas.microsoft.com/office/drawing/2010/slicer" name="Réseau Social"/>
            </a:graphicData>
          </a:graphic>
        </xdr:graphicFrame>
      </mc:Choice>
      <mc:Fallback xmlns="">
        <xdr:sp macro="" textlink="">
          <xdr:nvSpPr>
            <xdr:cNvPr id="0" name=""/>
            <xdr:cNvSpPr>
              <a:spLocks noTextEdit="1"/>
            </xdr:cNvSpPr>
          </xdr:nvSpPr>
          <xdr:spPr>
            <a:xfrm>
              <a:off x="15536334" y="1174751"/>
              <a:ext cx="1828800" cy="1174749"/>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20</xdr:col>
      <xdr:colOff>285752</xdr:colOff>
      <xdr:row>32</xdr:row>
      <xdr:rowOff>10583</xdr:rowOff>
    </xdr:from>
    <xdr:to>
      <xdr:col>22</xdr:col>
      <xdr:colOff>590552</xdr:colOff>
      <xdr:row>41</xdr:row>
      <xdr:rowOff>31750</xdr:rowOff>
    </xdr:to>
    <mc:AlternateContent xmlns:mc="http://schemas.openxmlformats.org/markup-compatibility/2006" xmlns:a14="http://schemas.microsoft.com/office/drawing/2010/main">
      <mc:Choice Requires="a14">
        <xdr:graphicFrame macro="">
          <xdr:nvGraphicFramePr>
            <xdr:cNvPr id="18" name="Segmentation du Public - Âge">
              <a:extLst>
                <a:ext uri="{FF2B5EF4-FFF2-40B4-BE49-F238E27FC236}">
                  <a16:creationId xmlns:a16="http://schemas.microsoft.com/office/drawing/2014/main" id="{0D1EC03D-2AF4-4465-B16D-4418A8CC6E6E}"/>
                </a:ext>
              </a:extLst>
            </xdr:cNvPr>
            <xdr:cNvGraphicFramePr/>
          </xdr:nvGraphicFramePr>
          <xdr:xfrm>
            <a:off x="0" y="0"/>
            <a:ext cx="0" cy="0"/>
          </xdr:xfrm>
          <a:graphic>
            <a:graphicData uri="http://schemas.microsoft.com/office/drawing/2010/slicer">
              <sle:slicer xmlns:sle="http://schemas.microsoft.com/office/drawing/2010/slicer" name="Segmentation du Public - Âge"/>
            </a:graphicData>
          </a:graphic>
        </xdr:graphicFrame>
      </mc:Choice>
      <mc:Fallback xmlns="">
        <xdr:sp macro="" textlink="">
          <xdr:nvSpPr>
            <xdr:cNvPr id="0" name=""/>
            <xdr:cNvSpPr>
              <a:spLocks noTextEdit="1"/>
            </xdr:cNvSpPr>
          </xdr:nvSpPr>
          <xdr:spPr>
            <a:xfrm>
              <a:off x="15546919" y="6106583"/>
              <a:ext cx="1828800" cy="1735667"/>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20</xdr:col>
      <xdr:colOff>285750</xdr:colOff>
      <xdr:row>14</xdr:row>
      <xdr:rowOff>21166</xdr:rowOff>
    </xdr:from>
    <xdr:to>
      <xdr:col>22</xdr:col>
      <xdr:colOff>590550</xdr:colOff>
      <xdr:row>23</xdr:row>
      <xdr:rowOff>31749</xdr:rowOff>
    </xdr:to>
    <mc:AlternateContent xmlns:mc="http://schemas.openxmlformats.org/markup-compatibility/2006" xmlns:a14="http://schemas.microsoft.com/office/drawing/2010/main">
      <mc:Choice Requires="a14">
        <xdr:graphicFrame macro="">
          <xdr:nvGraphicFramePr>
            <xdr:cNvPr id="20" name="Centre Intérêt">
              <a:extLst>
                <a:ext uri="{FF2B5EF4-FFF2-40B4-BE49-F238E27FC236}">
                  <a16:creationId xmlns:a16="http://schemas.microsoft.com/office/drawing/2014/main" id="{81912D4F-714C-4E58-9D29-3D22D4971029}"/>
                </a:ext>
              </a:extLst>
            </xdr:cNvPr>
            <xdr:cNvGraphicFramePr/>
          </xdr:nvGraphicFramePr>
          <xdr:xfrm>
            <a:off x="0" y="0"/>
            <a:ext cx="0" cy="0"/>
          </xdr:xfrm>
          <a:graphic>
            <a:graphicData uri="http://schemas.microsoft.com/office/drawing/2010/slicer">
              <sle:slicer xmlns:sle="http://schemas.microsoft.com/office/drawing/2010/slicer" name="Centre Intérêt"/>
            </a:graphicData>
          </a:graphic>
        </xdr:graphicFrame>
      </mc:Choice>
      <mc:Fallback xmlns="">
        <xdr:sp macro="" textlink="">
          <xdr:nvSpPr>
            <xdr:cNvPr id="0" name=""/>
            <xdr:cNvSpPr>
              <a:spLocks noTextEdit="1"/>
            </xdr:cNvSpPr>
          </xdr:nvSpPr>
          <xdr:spPr>
            <a:xfrm>
              <a:off x="15546917" y="2688166"/>
              <a:ext cx="1828800" cy="1725083"/>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20</xdr:col>
      <xdr:colOff>296333</xdr:colOff>
      <xdr:row>25</xdr:row>
      <xdr:rowOff>10584</xdr:rowOff>
    </xdr:from>
    <xdr:to>
      <xdr:col>22</xdr:col>
      <xdr:colOff>601133</xdr:colOff>
      <xdr:row>29</xdr:row>
      <xdr:rowOff>137584</xdr:rowOff>
    </xdr:to>
    <mc:AlternateContent xmlns:mc="http://schemas.openxmlformats.org/markup-compatibility/2006" xmlns:a14="http://schemas.microsoft.com/office/drawing/2010/main">
      <mc:Choice Requires="a14">
        <xdr:graphicFrame macro="">
          <xdr:nvGraphicFramePr>
            <xdr:cNvPr id="22" name="Segmentation du Public - Sexe">
              <a:extLst>
                <a:ext uri="{FF2B5EF4-FFF2-40B4-BE49-F238E27FC236}">
                  <a16:creationId xmlns:a16="http://schemas.microsoft.com/office/drawing/2014/main" id="{D0C7BE73-7914-4ED2-BC5F-15364C36A2D4}"/>
                </a:ext>
              </a:extLst>
            </xdr:cNvPr>
            <xdr:cNvGraphicFramePr/>
          </xdr:nvGraphicFramePr>
          <xdr:xfrm>
            <a:off x="0" y="0"/>
            <a:ext cx="0" cy="0"/>
          </xdr:xfrm>
          <a:graphic>
            <a:graphicData uri="http://schemas.microsoft.com/office/drawing/2010/slicer">
              <sle:slicer xmlns:sle="http://schemas.microsoft.com/office/drawing/2010/slicer" name="Segmentation du Public - Sexe"/>
            </a:graphicData>
          </a:graphic>
        </xdr:graphicFrame>
      </mc:Choice>
      <mc:Fallback xmlns="">
        <xdr:sp macro="" textlink="">
          <xdr:nvSpPr>
            <xdr:cNvPr id="0" name=""/>
            <xdr:cNvSpPr>
              <a:spLocks noTextEdit="1"/>
            </xdr:cNvSpPr>
          </xdr:nvSpPr>
          <xdr:spPr>
            <a:xfrm>
              <a:off x="15557500" y="4773084"/>
              <a:ext cx="1828800" cy="889000"/>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xdr:from>
      <xdr:col>2</xdr:col>
      <xdr:colOff>49743</xdr:colOff>
      <xdr:row>6</xdr:row>
      <xdr:rowOff>4233</xdr:rowOff>
    </xdr:from>
    <xdr:to>
      <xdr:col>5</xdr:col>
      <xdr:colOff>264584</xdr:colOff>
      <xdr:row>11</xdr:row>
      <xdr:rowOff>80434</xdr:rowOff>
    </xdr:to>
    <xdr:sp macro="" textlink="TCD!D4">
      <xdr:nvSpPr>
        <xdr:cNvPr id="23" name="Rectangle : coins arrondis 22">
          <a:extLst>
            <a:ext uri="{FF2B5EF4-FFF2-40B4-BE49-F238E27FC236}">
              <a16:creationId xmlns:a16="http://schemas.microsoft.com/office/drawing/2014/main" id="{412FBCCC-ECDE-45D3-8408-4BE14143DE2D}"/>
            </a:ext>
          </a:extLst>
        </xdr:cNvPr>
        <xdr:cNvSpPr/>
      </xdr:nvSpPr>
      <xdr:spPr>
        <a:xfrm>
          <a:off x="1573743" y="1147233"/>
          <a:ext cx="2500841" cy="1028701"/>
        </a:xfrm>
        <a:prstGeom prst="roundRect">
          <a:avLst/>
        </a:prstGeom>
        <a:solidFill>
          <a:srgbClr val="FFC000"/>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ctr"/>
          <a:fld id="{70E0D56E-1B21-4240-908A-415253A2EC95}" type="TxLink">
            <a:rPr lang="en-US" sz="2400" b="1" i="0" u="none" strike="noStrike">
              <a:ln w="9525">
                <a:noFill/>
              </a:ln>
              <a:solidFill>
                <a:srgbClr val="765023"/>
              </a:solidFill>
              <a:latin typeface="Calibri"/>
              <a:ea typeface="Calibri"/>
              <a:cs typeface="Calibri"/>
            </a:rPr>
            <a:pPr marL="0" indent="0" algn="ctr"/>
            <a:t>1 470 053 €</a:t>
          </a:fld>
          <a:endParaRPr lang="en-US" sz="2400" b="1" i="0" u="none" strike="noStrike">
            <a:ln w="9525">
              <a:noFill/>
            </a:ln>
            <a:solidFill>
              <a:srgbClr val="765023"/>
            </a:solidFill>
            <a:latin typeface="Calibri"/>
            <a:ea typeface="Calibri"/>
            <a:cs typeface="Calibri"/>
          </a:endParaRPr>
        </a:p>
      </xdr:txBody>
    </xdr:sp>
    <xdr:clientData/>
  </xdr:twoCellAnchor>
  <xdr:twoCellAnchor>
    <xdr:from>
      <xdr:col>2</xdr:col>
      <xdr:colOff>66675</xdr:colOff>
      <xdr:row>6</xdr:row>
      <xdr:rowOff>0</xdr:rowOff>
    </xdr:from>
    <xdr:to>
      <xdr:col>4</xdr:col>
      <xdr:colOff>352425</xdr:colOff>
      <xdr:row>7</xdr:row>
      <xdr:rowOff>57150</xdr:rowOff>
    </xdr:to>
    <xdr:sp macro="" textlink="">
      <xdr:nvSpPr>
        <xdr:cNvPr id="31" name="ZoneTexte 30">
          <a:extLst>
            <a:ext uri="{FF2B5EF4-FFF2-40B4-BE49-F238E27FC236}">
              <a16:creationId xmlns:a16="http://schemas.microsoft.com/office/drawing/2014/main" id="{5DD11AE8-CAC0-01AA-F75B-75D32075D81C}"/>
            </a:ext>
          </a:extLst>
        </xdr:cNvPr>
        <xdr:cNvSpPr txBox="1"/>
      </xdr:nvSpPr>
      <xdr:spPr>
        <a:xfrm>
          <a:off x="1590675" y="1143000"/>
          <a:ext cx="18097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b="1" u="none">
              <a:ln>
                <a:noFill/>
              </a:ln>
              <a:solidFill>
                <a:srgbClr val="765023"/>
              </a:solidFill>
            </a:rPr>
            <a:t>Ventes totales</a:t>
          </a:r>
          <a:r>
            <a:rPr lang="fr-FR" sz="1200" b="1" u="none" baseline="0">
              <a:ln>
                <a:noFill/>
              </a:ln>
              <a:solidFill>
                <a:srgbClr val="765023"/>
              </a:solidFill>
            </a:rPr>
            <a:t> générées</a:t>
          </a:r>
          <a:endParaRPr lang="fr-FR" sz="1200" b="1" u="none">
            <a:ln>
              <a:noFill/>
            </a:ln>
            <a:solidFill>
              <a:srgbClr val="765023"/>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60960</xdr:colOff>
      <xdr:row>0</xdr:row>
      <xdr:rowOff>68578</xdr:rowOff>
    </xdr:from>
    <xdr:to>
      <xdr:col>17</xdr:col>
      <xdr:colOff>579120</xdr:colOff>
      <xdr:row>39</xdr:row>
      <xdr:rowOff>95249</xdr:rowOff>
    </xdr:to>
    <xdr:sp macro="" textlink="">
      <xdr:nvSpPr>
        <xdr:cNvPr id="2" name="ZoneTexte 1">
          <a:extLst>
            <a:ext uri="{FF2B5EF4-FFF2-40B4-BE49-F238E27FC236}">
              <a16:creationId xmlns:a16="http://schemas.microsoft.com/office/drawing/2014/main" id="{D45ADF40-46A7-F862-15A3-86AF1EC605EE}"/>
            </a:ext>
          </a:extLst>
        </xdr:cNvPr>
        <xdr:cNvSpPr txBox="1"/>
      </xdr:nvSpPr>
      <xdr:spPr>
        <a:xfrm>
          <a:off x="60960" y="68578"/>
          <a:ext cx="13472160" cy="74561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a:t>1️⃣ </a:t>
          </a:r>
          <a:r>
            <a:rPr lang="fr-FR" b="1" u="sng"/>
            <a:t>Quel réseau social a généré le plus de ventes par rapport au budget investi ?</a:t>
          </a:r>
        </a:p>
        <a:p>
          <a:r>
            <a:rPr lang="fr-FR" b="0"/>
            <a:t>Ce réseau social est-il</a:t>
          </a:r>
          <a:r>
            <a:rPr lang="fr-FR" b="0" baseline="0"/>
            <a:t> le plus rentable ? </a:t>
          </a:r>
          <a:endParaRPr lang="fr-FR" b="0"/>
        </a:p>
        <a:p>
          <a:endParaRPr lang="fr-FR" b="1"/>
        </a:p>
        <a:p>
          <a:r>
            <a:rPr lang="fr-FR" b="1"/>
            <a:t>- </a:t>
          </a:r>
          <a:r>
            <a:rPr lang="fr-FR" b="0"/>
            <a:t>La</a:t>
          </a:r>
          <a:r>
            <a:rPr lang="fr-FR" b="0" baseline="0"/>
            <a:t> question est ambiguë, si la réelle intérrogation est la valeur net de vente la plus élevée, la réponse est </a:t>
          </a:r>
          <a:r>
            <a:rPr lang="fr-FR" b="1" baseline="0"/>
            <a:t>Instagram</a:t>
          </a:r>
          <a:r>
            <a:rPr lang="fr-FR" b="0" baseline="0"/>
            <a:t>. Si la question est de savoir la valeur la plus importante sur le rapport Vente/Budget, cela révient à demandé le ROI le plus élevé, et donc le plus rentable. Dans ce cas les 2 questions sont les mêmes car la rentabilité est égale au rapport Vente/Budget.</a:t>
          </a:r>
        </a:p>
        <a:p>
          <a:endParaRPr lang="fr-FR" b="0" baseline="0"/>
        </a:p>
        <a:p>
          <a:r>
            <a:rPr lang="fr-FR" b="0" baseline="0"/>
            <a:t>Si on parle de profit net, ou de marge brut, équivalent au CA-Budget, le réseau social </a:t>
          </a:r>
          <a:r>
            <a:rPr lang="fr-FR" b="1" baseline="0"/>
            <a:t>Facebook</a:t>
          </a:r>
          <a:r>
            <a:rPr lang="fr-FR" b="0" baseline="0"/>
            <a:t> génère le plus de valeur net soit environ </a:t>
          </a:r>
          <a:r>
            <a:rPr lang="fr-FR" b="1" baseline="0"/>
            <a:t>313K€. </a:t>
          </a:r>
          <a:br>
            <a:rPr lang="fr-FR"/>
          </a:br>
          <a:r>
            <a:rPr lang="fr-FR"/>
            <a:t>En</a:t>
          </a:r>
          <a:r>
            <a:rPr lang="fr-FR" baseline="0"/>
            <a:t> terme pourcentage, pour le Retour sur Investissement (ROI), c'est</a:t>
          </a:r>
          <a:r>
            <a:rPr lang="fr-FR"/>
            <a:t> le réseau </a:t>
          </a:r>
          <a:r>
            <a:rPr lang="fr-FR" b="0"/>
            <a:t>est Twitter le plus rentable</a:t>
          </a:r>
          <a:r>
            <a:rPr lang="fr-FR" b="0" baseline="0"/>
            <a:t> </a:t>
          </a:r>
          <a:r>
            <a:rPr lang="fr-FR"/>
            <a:t>avec un </a:t>
          </a:r>
          <a:r>
            <a:rPr lang="fr-FR" b="1"/>
            <a:t>ROI Moyen de 185 %</a:t>
          </a:r>
          <a:r>
            <a:rPr lang="fr-FR" b="0"/>
            <a:t>,</a:t>
          </a:r>
          <a:r>
            <a:rPr lang="fr-FR" b="0" baseline="0"/>
            <a:t> alors que Facebook a un ROI moyen de 161% et Instagram un ROI de 145%</a:t>
          </a:r>
          <a:endParaRPr lang="fr-FR"/>
        </a:p>
        <a:p>
          <a:endParaRPr lang="fr-FR"/>
        </a:p>
        <a:p>
          <a:endParaRPr lang="fr-FR"/>
        </a:p>
        <a:p>
          <a:r>
            <a:rPr lang="fr-FR"/>
            <a:t>2️⃣ </a:t>
          </a:r>
          <a:r>
            <a:rPr lang="fr-FR" b="1" u="sng"/>
            <a:t>Quelle tranche d’âge convertit le mieux ?</a:t>
          </a:r>
        </a:p>
        <a:p>
          <a:r>
            <a:rPr lang="fr-FR" b="0"/>
            <a:t>Justifiez votre réponse avec le taux de conversion moyen.</a:t>
          </a:r>
        </a:p>
        <a:p>
          <a:endParaRPr lang="fr-FR"/>
        </a:p>
        <a:p>
          <a:r>
            <a:rPr lang="fr-FR"/>
            <a:t>- La tranche </a:t>
          </a:r>
          <a:r>
            <a:rPr lang="fr-FR" b="1"/>
            <a:t>25-34 ans</a:t>
          </a:r>
          <a:r>
            <a:rPr lang="fr-FR"/>
            <a:t> convertit le mieux, avec un </a:t>
          </a:r>
          <a:r>
            <a:rPr lang="fr-FR" b="1"/>
            <a:t>taux de conversion moyen de 13.54 % tous segements confondus.</a:t>
          </a:r>
          <a:endParaRPr lang="fr-FR"/>
        </a:p>
        <a:p>
          <a:endParaRPr lang="fr-FR"/>
        </a:p>
        <a:p>
          <a:endParaRPr lang="fr-FR"/>
        </a:p>
        <a:p>
          <a:r>
            <a:rPr lang="fr-FR"/>
            <a:t>3️⃣ </a:t>
          </a:r>
          <a:r>
            <a:rPr lang="fr-FR" b="1" u="sng"/>
            <a:t>Quel groupe (sexe + âge) est le plus rentable ?</a:t>
          </a:r>
          <a:endParaRPr lang="fr-FR" b="0" u="sng"/>
        </a:p>
        <a:p>
          <a:r>
            <a:rPr lang="fr-FR" b="0"/>
            <a:t>Comparez les ventes totales et le ROI moyen.</a:t>
          </a:r>
        </a:p>
        <a:p>
          <a:endParaRPr lang="fr-FR"/>
        </a:p>
        <a:p>
          <a:r>
            <a:rPr lang="fr-FR"/>
            <a:t>- Le groupe </a:t>
          </a:r>
          <a:r>
            <a:rPr lang="fr-FR" b="1"/>
            <a:t>Homme de 55ans+ </a:t>
          </a:r>
          <a:r>
            <a:rPr lang="fr-FR" b="0"/>
            <a:t>a</a:t>
          </a:r>
          <a:r>
            <a:rPr lang="fr-FR"/>
            <a:t> le ROI moyen</a:t>
          </a:r>
          <a:r>
            <a:rPr lang="fr-FR" baseline="0"/>
            <a:t> le plus élevé </a:t>
          </a:r>
          <a:r>
            <a:rPr lang="fr-FR" b="1" baseline="0"/>
            <a:t>(187%) </a:t>
          </a:r>
          <a:r>
            <a:rPr lang="fr-FR" baseline="0"/>
            <a:t>et est donc techniquement le plus rentable, mais il ne génère que </a:t>
          </a:r>
          <a:r>
            <a:rPr lang="fr-FR" b="1" baseline="0"/>
            <a:t>83K€</a:t>
          </a:r>
          <a:r>
            <a:rPr lang="fr-FR" baseline="0"/>
            <a:t> de chiffre d'affaire soit un rendement net de </a:t>
          </a:r>
          <a:r>
            <a:rPr lang="fr-FR" b="1" baseline="0"/>
            <a:t>58K€</a:t>
          </a:r>
          <a:r>
            <a:rPr lang="fr-FR" baseline="0"/>
            <a:t>.</a:t>
          </a:r>
          <a:endParaRPr lang="fr-FR"/>
        </a:p>
        <a:p>
          <a:r>
            <a:rPr lang="fr-FR"/>
            <a:t>- Le groupe </a:t>
          </a:r>
          <a:r>
            <a:rPr lang="fr-FR" b="1"/>
            <a:t>Femme de 55anns+</a:t>
          </a:r>
          <a:r>
            <a:rPr lang="fr-FR"/>
            <a:t> a</a:t>
          </a:r>
          <a:r>
            <a:rPr lang="fr-FR" baseline="0"/>
            <a:t> un ROI légèrement plus bas </a:t>
          </a:r>
          <a:r>
            <a:rPr lang="fr-FR" b="1" baseline="0"/>
            <a:t>(</a:t>
          </a:r>
          <a:r>
            <a:rPr lang="fr-FR" b="1"/>
            <a:t> 178%)</a:t>
          </a:r>
          <a:r>
            <a:rPr lang="fr-FR"/>
            <a:t>,</a:t>
          </a:r>
          <a:r>
            <a:rPr lang="fr-FR" baseline="0"/>
            <a:t> mais il fais apporte un chiffre d'environ </a:t>
          </a:r>
          <a:r>
            <a:rPr lang="fr-FR" b="1" baseline="0"/>
            <a:t>170K€ </a:t>
          </a:r>
          <a:r>
            <a:rPr lang="fr-FR" baseline="0"/>
            <a:t>soit un rendement d'environ </a:t>
          </a:r>
          <a:r>
            <a:rPr lang="fr-FR" b="1" baseline="0"/>
            <a:t>103K€ </a:t>
          </a:r>
          <a:r>
            <a:rPr lang="fr-FR"/>
            <a:t>.</a:t>
          </a:r>
        </a:p>
        <a:p>
          <a:r>
            <a:rPr lang="fr-FR" b="1"/>
            <a:t>Le groupe Femme de 55ans+ semble donc être</a:t>
          </a:r>
          <a:r>
            <a:rPr lang="fr-FR" b="1" baseline="0"/>
            <a:t> le plus rentable.</a:t>
          </a:r>
          <a:endParaRPr lang="fr-FR" b="1"/>
        </a:p>
        <a:p>
          <a:endParaRPr lang="fr-FR"/>
        </a:p>
        <a:p>
          <a:r>
            <a:rPr lang="fr-FR"/>
            <a:t>4️⃣ </a:t>
          </a:r>
          <a:r>
            <a:rPr lang="fr-FR" b="1" u="sng"/>
            <a:t>Quel centre d'intérêt est le plus rentable ?</a:t>
          </a:r>
          <a:endParaRPr lang="fr-FR" u="sng"/>
        </a:p>
        <a:p>
          <a:r>
            <a:rPr lang="fr-FR"/>
            <a:t>Expliquez pourquoi ce centre d'intérêt se démarque.</a:t>
          </a:r>
        </a:p>
        <a:p>
          <a:endParaRPr lang="fr-FR"/>
        </a:p>
        <a:p>
          <a:r>
            <a:rPr lang="fr-FR"/>
            <a:t>- D'un</a:t>
          </a:r>
          <a:r>
            <a:rPr lang="fr-FR" baseline="0"/>
            <a:t> point de vue ROI, le centre d'intérêt le plus rentable est la </a:t>
          </a:r>
          <a:r>
            <a:rPr lang="fr-FR" b="1" baseline="0"/>
            <a:t>santé </a:t>
          </a:r>
          <a:r>
            <a:rPr lang="fr-FR" baseline="0"/>
            <a:t>(</a:t>
          </a:r>
          <a:r>
            <a:rPr lang="fr-FR" b="1" baseline="0"/>
            <a:t>ROI moyen </a:t>
          </a:r>
          <a:r>
            <a:rPr lang="fr-FR" b="1"/>
            <a:t>de 196 %) </a:t>
          </a:r>
          <a:r>
            <a:rPr lang="fr-FR" b="0"/>
            <a:t>pour</a:t>
          </a:r>
          <a:r>
            <a:rPr lang="fr-FR" b="0" baseline="0"/>
            <a:t> un profit net d'environ </a:t>
          </a:r>
          <a:r>
            <a:rPr lang="fr-FR" b="1" baseline="0"/>
            <a:t>210K€</a:t>
          </a:r>
          <a:r>
            <a:rPr lang="fr-FR"/>
            <a:t>. </a:t>
          </a:r>
        </a:p>
        <a:p>
          <a:r>
            <a:rPr lang="fr-FR"/>
            <a:t>Mais d'un</a:t>
          </a:r>
          <a:r>
            <a:rPr lang="fr-FR" baseline="0"/>
            <a:t> point de vue profit net entre le budget investi et les ventes générées, le centre d'intérêt </a:t>
          </a:r>
          <a:r>
            <a:rPr lang="fr-FR" b="1" baseline="0"/>
            <a:t>lifestyle </a:t>
          </a:r>
          <a:r>
            <a:rPr lang="fr-FR" b="0" baseline="0"/>
            <a:t>est plus grand : environ </a:t>
          </a:r>
          <a:r>
            <a:rPr lang="fr-FR" b="1" baseline="0"/>
            <a:t>260K€</a:t>
          </a:r>
          <a:r>
            <a:rPr lang="fr-FR" b="0" baseline="0"/>
            <a:t>.</a:t>
          </a:r>
          <a:br>
            <a:rPr lang="fr-FR"/>
          </a:br>
          <a:r>
            <a:rPr lang="fr-FR"/>
            <a:t>- Le Centre</a:t>
          </a:r>
          <a:r>
            <a:rPr lang="fr-FR" baseline="0"/>
            <a:t> d'intérêt Lifestyle se démarque donc par sa marge.</a:t>
          </a:r>
          <a:endParaRPr lang="fr-FR"/>
        </a:p>
        <a:p>
          <a:endParaRPr lang="fr-FR"/>
        </a:p>
        <a:p>
          <a:endParaRPr lang="fr-FR"/>
        </a:p>
        <a:p>
          <a:r>
            <a:rPr lang="fr-FR"/>
            <a:t>5️⃣ </a:t>
          </a:r>
          <a:r>
            <a:rPr lang="fr-FR" b="1" u="sng"/>
            <a:t>Recommandation stratégique :</a:t>
          </a:r>
          <a:endParaRPr lang="fr-FR" u="sng"/>
        </a:p>
        <a:p>
          <a:r>
            <a:rPr lang="fr-FR" b="0"/>
            <a:t>Proposez où vous investiriez en priorité pour une future campagne.</a:t>
          </a:r>
        </a:p>
        <a:p>
          <a:r>
            <a:rPr lang="fr-FR" b="0"/>
            <a:t>Appuyez votre choix sur au moins deux indicateurs clés.</a:t>
          </a:r>
        </a:p>
        <a:p>
          <a:endParaRPr lang="fr-FR" sz="1100"/>
        </a:p>
        <a:p>
          <a:r>
            <a:rPr lang="fr-FR"/>
            <a:t>- Pour une future campagne, on</a:t>
          </a:r>
          <a:r>
            <a:rPr lang="fr-FR" baseline="0"/>
            <a:t> pourrait suggérer un investissement sur </a:t>
          </a:r>
          <a:r>
            <a:rPr lang="fr-FR" b="1"/>
            <a:t>Twitter</a:t>
          </a:r>
          <a:r>
            <a:rPr lang="fr-FR" b="0"/>
            <a:t>, dans une campagne pour </a:t>
          </a:r>
          <a:r>
            <a:rPr lang="fr-FR" b="1"/>
            <a:t>Homme</a:t>
          </a:r>
          <a:r>
            <a:rPr lang="fr-FR" b="0" baseline="0"/>
            <a:t> dans le centre d'intérêt de la </a:t>
          </a:r>
          <a:r>
            <a:rPr lang="fr-FR" b="1" baseline="0"/>
            <a:t>Santé</a:t>
          </a:r>
          <a:r>
            <a:rPr lang="fr-FR"/>
            <a:t>.</a:t>
          </a:r>
          <a:br>
            <a:rPr lang="fr-FR"/>
          </a:br>
          <a:r>
            <a:rPr lang="fr-FR"/>
            <a:t>Il y a un fort potentiel appuyé par  :</a:t>
          </a:r>
        </a:p>
        <a:p>
          <a:r>
            <a:rPr lang="fr-FR"/>
            <a:t>	- Un </a:t>
          </a:r>
          <a:r>
            <a:rPr lang="fr-FR" b="1"/>
            <a:t>ROI moyen élevé de</a:t>
          </a:r>
          <a:r>
            <a:rPr lang="fr-FR" b="1" baseline="0"/>
            <a:t> 185</a:t>
          </a:r>
          <a:r>
            <a:rPr lang="fr-FR" b="1"/>
            <a:t>%</a:t>
          </a:r>
          <a:r>
            <a:rPr lang="fr-FR"/>
            <a:t> tous</a:t>
          </a:r>
          <a:r>
            <a:rPr lang="fr-FR" baseline="0"/>
            <a:t> segments confondus, et plus grand encore dans le segment Santé seul : </a:t>
          </a:r>
          <a:r>
            <a:rPr lang="fr-FR" b="1" baseline="0"/>
            <a:t>ROI de 279% sur twitter</a:t>
          </a:r>
        </a:p>
        <a:p>
          <a:r>
            <a:rPr lang="fr-FR" sz="1100" b="1" baseline="0"/>
            <a:t> 	- </a:t>
          </a:r>
          <a:r>
            <a:rPr lang="fr-FR" sz="1100" b="0" baseline="0"/>
            <a:t>Le groupe </a:t>
          </a:r>
          <a:r>
            <a:rPr lang="fr-FR" sz="1100" b="1" baseline="0"/>
            <a:t>Homme</a:t>
          </a:r>
          <a:r>
            <a:rPr lang="fr-FR" sz="1100" b="0" baseline="0"/>
            <a:t> se démarque par un taux de conversion dans le centre d'intérêt </a:t>
          </a:r>
          <a:r>
            <a:rPr lang="fr-FR" sz="1100" b="1" baseline="0"/>
            <a:t>santé</a:t>
          </a:r>
          <a:r>
            <a:rPr lang="fr-FR" sz="1100" b="0" baseline="0"/>
            <a:t> plus grand que le groupe </a:t>
          </a:r>
          <a:r>
            <a:rPr lang="fr-FR" sz="1100" b="1" baseline="0"/>
            <a:t>Femme</a:t>
          </a:r>
          <a:r>
            <a:rPr lang="fr-FR" sz="1100" b="0" baseline="0"/>
            <a:t> (respectivement </a:t>
          </a:r>
          <a:r>
            <a:rPr lang="fr-FR" sz="1100" b="1" baseline="0"/>
            <a:t>8.16% </a:t>
          </a:r>
          <a:r>
            <a:rPr lang="fr-FR" sz="1100" b="0" baseline="0"/>
            <a:t>et </a:t>
          </a:r>
          <a:r>
            <a:rPr lang="fr-FR" sz="1100" b="1" baseline="0"/>
            <a:t>6.31%)</a:t>
          </a:r>
        </a:p>
        <a:p>
          <a:endParaRPr lang="fr-FR" sz="1100" b="1" baseline="0"/>
        </a:p>
        <a:p>
          <a:r>
            <a:rPr lang="fr-FR" sz="1100" b="1" baseline="0"/>
            <a:t>Les ventes générées par le groupe Homme est très bas, en prenant en compte le taux de conversion et le ROI important dans le centre d'intérêt santé, le potentiel est large et mériterai qu'on y investisse.</a:t>
          </a:r>
          <a:endParaRPr lang="fr-FR" sz="1100" b="1"/>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cent Dotigny" refreshedDate="45768.44699178241" createdVersion="8" refreshedVersion="8" minRefreshableVersion="3" recordCount="105" xr:uid="{F8A26980-DBFF-4626-9901-4368EDE8D4CB}">
  <cacheSource type="worksheet">
    <worksheetSource ref="A1:M106" sheet="DATA"/>
  </cacheSource>
  <cacheFields count="13">
    <cacheField name="ID Campagne" numFmtId="0">
      <sharedItems containsSemiMixedTypes="0" containsString="0" containsNumber="1" containsInteger="1" minValue="1" maxValue="105" count="10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sharedItems>
    </cacheField>
    <cacheField name="Réseau Social" numFmtId="0">
      <sharedItems count="3">
        <s v="Facebook"/>
        <s v="Twitter"/>
        <s v="Instagram"/>
      </sharedItems>
    </cacheField>
    <cacheField name="Date de Début" numFmtId="165">
      <sharedItems containsSemiMixedTypes="0" containsNonDate="0" containsDate="1" containsString="0" minDate="2021-01-04T22:57:25" maxDate="2024-01-24T00:00:00"/>
    </cacheField>
    <cacheField name="Date de Fin" numFmtId="14">
      <sharedItems containsSemiMixedTypes="0" containsNonDate="0" containsDate="1" containsString="0" minDate="2021-02-02T18:56:23" maxDate="2024-02-29T00:00:00"/>
    </cacheField>
    <cacheField name="Budget de la Campagne (€)" numFmtId="164">
      <sharedItems containsSemiMixedTypes="0" containsString="0" containsNumber="1" containsInteger="1" minValue="636" maxValue="9911"/>
    </cacheField>
    <cacheField name="Nombre de Vues" numFmtId="0">
      <sharedItems containsSemiMixedTypes="0" containsString="0" containsNumber="1" containsInteger="1" minValue="1851" maxValue="98691" count="105">
        <n v="57620"/>
        <n v="84725"/>
        <n v="48993"/>
        <n v="68398"/>
        <n v="67439"/>
        <n v="96952"/>
        <n v="16352"/>
        <n v="65022"/>
        <n v="91616"/>
        <n v="90935"/>
        <n v="15297"/>
        <n v="6896"/>
        <n v="13003"/>
        <n v="74478"/>
        <n v="24761"/>
        <n v="43439"/>
        <n v="82858"/>
        <n v="96804"/>
        <n v="53280"/>
        <n v="37589"/>
        <n v="85631"/>
        <n v="9472"/>
        <n v="67564"/>
        <n v="36428"/>
        <n v="63444"/>
        <n v="68889"/>
        <n v="93503"/>
        <n v="88582"/>
        <n v="8734"/>
        <n v="91265"/>
        <n v="29436"/>
        <n v="24905"/>
        <n v="27981"/>
        <n v="77473"/>
        <n v="46463"/>
        <n v="98691"/>
        <n v="67589"/>
        <n v="20361"/>
        <n v="22875"/>
        <n v="37661"/>
        <n v="3679"/>
        <n v="77723"/>
        <n v="71486"/>
        <n v="32222"/>
        <n v="69201"/>
        <n v="85977"/>
        <n v="31857"/>
        <n v="40606"/>
        <n v="1851"/>
        <n v="6028"/>
        <n v="21177"/>
        <n v="90236"/>
        <n v="40920"/>
        <n v="91238"/>
        <n v="56082"/>
        <n v="75305"/>
        <n v="23036"/>
        <n v="39212"/>
        <n v="83032"/>
        <n v="35735"/>
        <n v="83570"/>
        <n v="2384"/>
        <n v="80403"/>
        <n v="66599"/>
        <n v="70524"/>
        <n v="52654"/>
        <n v="63729"/>
        <n v="53668"/>
        <n v="20055"/>
        <n v="47499"/>
        <n v="92980"/>
        <n v="88314"/>
        <n v="37209"/>
        <n v="9010"/>
        <n v="60618"/>
        <n v="80073"/>
        <n v="52115"/>
        <n v="72299"/>
        <n v="20340"/>
        <n v="73932"/>
        <n v="54121"/>
        <n v="15705"/>
        <n v="57448"/>
        <n v="87823"/>
        <n v="26274"/>
        <n v="83212"/>
        <n v="32075"/>
        <n v="54251"/>
        <n v="71882"/>
        <n v="24417"/>
        <n v="97700"/>
        <n v="14729"/>
        <n v="24836"/>
        <n v="57132"/>
        <n v="70658"/>
        <n v="67272"/>
        <n v="27872"/>
        <n v="84891"/>
        <n v="12465"/>
        <n v="80285"/>
        <n v="28047"/>
        <n v="36105"/>
        <n v="85766"/>
        <n v="25707"/>
        <n v="31976"/>
      </sharedItems>
    </cacheField>
    <cacheField name="Nombre de Clics" numFmtId="0">
      <sharedItems containsSemiMixedTypes="0" containsString="0" containsNumber="1" containsInteger="1" minValue="100" maxValue="8392"/>
    </cacheField>
    <cacheField name="Taux de Conversion (%)" numFmtId="10">
      <sharedItems containsSemiMixedTypes="0" containsString="0" containsNumber="1" minValue="1.5E-3" maxValue="1"/>
    </cacheField>
    <cacheField name="Ventes Générées (€)" numFmtId="164">
      <sharedItems containsSemiMixedTypes="0" containsString="0" containsNumber="1" containsInteger="1" minValue="563" maxValue="46900" count="105">
        <n v="3046"/>
        <n v="28067"/>
        <n v="2412"/>
        <n v="21632"/>
        <n v="4710"/>
        <n v="802"/>
        <n v="4951"/>
        <n v="14741"/>
        <n v="15765"/>
        <n v="31477"/>
        <n v="5452"/>
        <n v="17930"/>
        <n v="27250"/>
        <n v="8222"/>
        <n v="3001"/>
        <n v="5117"/>
        <n v="16519"/>
        <n v="16862"/>
        <n v="11771"/>
        <n v="9242"/>
        <n v="9961"/>
        <n v="7570"/>
        <n v="17420"/>
        <n v="11069"/>
        <n v="17189"/>
        <n v="3722"/>
        <n v="10284"/>
        <n v="4128"/>
        <n v="15417"/>
        <n v="6772"/>
        <n v="21625"/>
        <n v="7227"/>
        <n v="739"/>
        <n v="32135"/>
        <n v="9346"/>
        <n v="12603"/>
        <n v="1550"/>
        <n v="3863"/>
        <n v="31857"/>
        <n v="18012"/>
        <n v="4687"/>
        <n v="23599"/>
        <n v="1008"/>
        <n v="30995"/>
        <n v="14740"/>
        <n v="32369"/>
        <n v="15609"/>
        <n v="20654"/>
        <n v="17201"/>
        <n v="13199"/>
        <n v="46900"/>
        <n v="25966"/>
        <n v="15592"/>
        <n v="40070"/>
        <n v="8598"/>
        <n v="24078"/>
        <n v="6376"/>
        <n v="13546"/>
        <n v="2522"/>
        <n v="12202"/>
        <n v="12909"/>
        <n v="2120"/>
        <n v="23379"/>
        <n v="18891"/>
        <n v="14279"/>
        <n v="14904"/>
        <n v="9009"/>
        <n v="16012"/>
        <n v="4885"/>
        <n v="37225"/>
        <n v="4352"/>
        <n v="1599"/>
        <n v="563"/>
        <n v="30425"/>
        <n v="22589"/>
        <n v="33828"/>
        <n v="22867"/>
        <n v="8098"/>
        <n v="14933"/>
        <n v="5049"/>
        <n v="15295"/>
        <n v="3589"/>
        <n v="11142"/>
        <n v="6367"/>
        <n v="2353"/>
        <n v="10566"/>
        <n v="22358"/>
        <n v="3156"/>
        <n v="19757"/>
        <n v="6160"/>
        <n v="1578"/>
        <n v="27562"/>
        <n v="5653"/>
        <n v="27658"/>
        <n v="24252"/>
        <n v="25881"/>
        <n v="7435"/>
        <n v="11535"/>
        <n v="887"/>
        <n v="8764"/>
        <n v="2345"/>
        <n v="21579"/>
        <n v="6113"/>
        <n v="11508"/>
        <n v="27275"/>
      </sharedItems>
    </cacheField>
    <cacheField name="ROI (%)" numFmtId="9">
      <sharedItems containsSemiMixedTypes="0" containsString="0" containsNumber="1" minValue="-0.47530288909599255" maxValue="3.9409344305813643" count="105">
        <n v="1.1850789096126255"/>
        <n v="3.7781750085120871"/>
        <n v="2.7924528301886791"/>
        <n v="2.1938579654510555"/>
        <n v="0.20183720336820618"/>
        <n v="0.20059880239520958"/>
        <n v="-0.23877613776137763"/>
        <n v="3.3976730310262528"/>
        <n v="2.2049196991258384"/>
        <n v="2.686263028457665"/>
        <n v="-0.40739130434782611"/>
        <n v="3.8643516006511125"/>
        <n v="3.2458709878466814"/>
        <n v="0.4554788458134183"/>
        <n v="0.31796223100570925"/>
        <n v="0.32530432530432529"/>
        <n v="0.86908802896582937"/>
        <n v="1.8613609367045647"/>
        <n v="1.4436371185385095"/>
        <n v="0.8103819784524976"/>
        <n v="2.2531025473546702"/>
        <n v="0.12766274392968865"/>
        <n v="0.81458333333333333"/>
        <n v="1.1484860248447204"/>
        <n v="1.5521900519673348"/>
        <n v="3.0325027085590466"/>
        <n v="0.39842262714169158"/>
        <n v="1.8139059304703475"/>
        <n v="2.1657084188911706"/>
        <n v="-0.29103852596314905"/>
        <n v="2.233886645730522"/>
        <n v="0.26722777485533927"/>
        <n v="-0.20793140407288319"/>
        <n v="3.7699272673296718"/>
        <n v="3.8449974079834113"/>
        <n v="3.1375574523965857"/>
        <n v="0.86972255729794934"/>
        <n v="-6.0554474708171206E-2"/>
        <n v="2.5790360633636671"/>
        <n v="1.4806500482027269"/>
        <n v="4.9015219337511191E-2"/>
        <n v="1.7282080924855492"/>
        <n v="-0.34545454545454546"/>
        <n v="3.5918518518518519"/>
        <n v="0.66440831074977413"/>
        <n v="2.4812862981286297"/>
        <n v="0.90260848366650415"/>
        <n v="1.8402090209020903"/>
        <n v="1.9600757184649802"/>
        <n v="0.33175259812329733"/>
        <n v="3.863127333056823"/>
        <n v="2.9880202733835048"/>
        <n v="3.7277137659187387"/>
        <n v="3.5266606416629012"/>
        <n v="2.1903525046382191"/>
        <n v="3.6482625482625481"/>
        <n v="-0.10184533032821524"/>
        <n v="0.38182189125777821"/>
        <n v="-0.29651324965132497"/>
        <n v="0.9639465636568485"/>
        <n v="1.2489547038327526"/>
        <n v="0.72077922077922074"/>
        <n v="3.2291968162083937"/>
        <n v="1.1053159478435306"/>
        <n v="0.76414628119594763"/>
        <n v="1.9419660481642322"/>
        <n v="0.13406344410876134"/>
        <n v="3.1098562628336754"/>
        <n v="-0.16452881819736617"/>
        <n v="3.9409344305813643"/>
        <n v="2.9744292237442922"/>
        <n v="0.39407149084568438"/>
        <n v="-0.47530288909599255"/>
        <n v="3.1695217212553106"/>
        <n v="2.6807886589538863"/>
        <n v="2.7805096110862761"/>
        <n v="2.9706546275395036"/>
        <n v="-0.1668724279835391"/>
        <n v="1.1130607046837413"/>
        <n v="2.1237864077669904E-2"/>
        <n v="3.3837775867010604"/>
        <n v="2.3047882136279925"/>
        <n v="0.98893252409853627"/>
        <n v="-0.21404764843846438"/>
        <n v="0.89911218724778041"/>
        <n v="0.96321070234113715"/>
        <n v="2.7830795262267345"/>
        <n v="2.3681963713980791"/>
        <n v="3.4922692132787629"/>
        <n v="1.6246271836386876"/>
        <n v="3.8157894736842106E-2"/>
        <n v="2.7095558546433378"/>
        <n v="2.9229701596113808"/>
        <n v="2.0257083470079862"/>
        <n v="2.9692307692307693"/>
        <n v="1.7220235591081194"/>
        <n v="1.8519370924434215"/>
        <n v="1.423828535406598"/>
        <n v="-0.38615916955017299"/>
        <n v="-1.4505791071629371E-2"/>
        <n v="-0.35876401421930543"/>
        <n v="2.3638347622759159"/>
        <n v="0.91450046977763855"/>
        <n v="1.7884661982069299"/>
        <n v="3.5840336134453783"/>
      </sharedItems>
    </cacheField>
    <cacheField name="Segmentation du Public - Âge" numFmtId="0">
      <sharedItems count="5">
        <s v="18-24"/>
        <s v="25-34"/>
        <s v="55+"/>
        <s v="45-54"/>
        <s v="35-44"/>
      </sharedItems>
    </cacheField>
    <cacheField name="Segmentation du Public - Sexe" numFmtId="0">
      <sharedItems count="2">
        <s v="Homme"/>
        <s v="Femme"/>
      </sharedItems>
    </cacheField>
    <cacheField name="Centre Intérêt" numFmtId="0">
      <sharedItems count="5">
        <s v="Beauté"/>
        <s v="Santé"/>
        <s v="Lifestyle"/>
        <s v="Fitness"/>
        <s v="Mode"/>
      </sharedItems>
    </cacheField>
  </cacheFields>
  <extLst>
    <ext xmlns:x14="http://schemas.microsoft.com/office/spreadsheetml/2009/9/main" uri="{725AE2AE-9491-48be-B2B4-4EB974FC3084}">
      <x14:pivotCacheDefinition pivotCacheId="7996498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
  <r>
    <x v="0"/>
    <x v="0"/>
    <d v="2021-04-07T08:43:24"/>
    <d v="2021-12-10T08:30:39"/>
    <n v="1394"/>
    <x v="0"/>
    <n v="297"/>
    <n v="5.1999999999999998E-3"/>
    <x v="0"/>
    <x v="0"/>
    <x v="0"/>
    <x v="0"/>
    <x v="0"/>
  </r>
  <r>
    <x v="1"/>
    <x v="1"/>
    <d v="2021-07-31T08:40:21"/>
    <d v="2021-08-07T08:40:21"/>
    <n v="5874"/>
    <x v="1"/>
    <n v="1771"/>
    <n v="2.0899999999999998E-2"/>
    <x v="1"/>
    <x v="1"/>
    <x v="0"/>
    <x v="1"/>
    <x v="0"/>
  </r>
  <r>
    <x v="2"/>
    <x v="1"/>
    <d v="2021-03-01T16:41:39"/>
    <d v="2021-11-14T07:21:31"/>
    <n v="636"/>
    <x v="2"/>
    <n v="2785"/>
    <n v="5.6800000000000003E-2"/>
    <x v="2"/>
    <x v="2"/>
    <x v="1"/>
    <x v="1"/>
    <x v="1"/>
  </r>
  <r>
    <x v="3"/>
    <x v="0"/>
    <d v="2021-10-17T08:20:19"/>
    <d v="2021-10-24T08:20:19"/>
    <n v="6773"/>
    <x v="3"/>
    <n v="706"/>
    <n v="1.03E-2"/>
    <x v="3"/>
    <x v="3"/>
    <x v="1"/>
    <x v="0"/>
    <x v="2"/>
  </r>
  <r>
    <x v="4"/>
    <x v="0"/>
    <d v="2021-03-30T11:22:49"/>
    <d v="2021-11-13T23:05:55"/>
    <n v="3919"/>
    <x v="4"/>
    <n v="2220"/>
    <n v="3.2899999999999999E-2"/>
    <x v="4"/>
    <x v="4"/>
    <x v="1"/>
    <x v="1"/>
    <x v="1"/>
  </r>
  <r>
    <x v="5"/>
    <x v="0"/>
    <d v="2021-09-19T22:17:57"/>
    <d v="2021-09-26T22:17:57"/>
    <n v="668"/>
    <x v="5"/>
    <n v="4442"/>
    <n v="4.58E-2"/>
    <x v="5"/>
    <x v="5"/>
    <x v="2"/>
    <x v="1"/>
    <x v="0"/>
  </r>
  <r>
    <x v="6"/>
    <x v="2"/>
    <d v="2021-01-05T08:02:44"/>
    <d v="2021-02-02T18:56:23"/>
    <n v="6504"/>
    <x v="6"/>
    <n v="1259"/>
    <n v="7.6999999999999999E-2"/>
    <x v="6"/>
    <x v="6"/>
    <x v="1"/>
    <x v="1"/>
    <x v="3"/>
  </r>
  <r>
    <x v="7"/>
    <x v="1"/>
    <d v="2021-02-27T01:37:10"/>
    <d v="2021-04-11T16:29:12"/>
    <n v="3352"/>
    <x v="7"/>
    <n v="1831"/>
    <n v="2.8199999999999999E-2"/>
    <x v="7"/>
    <x v="7"/>
    <x v="2"/>
    <x v="1"/>
    <x v="0"/>
  </r>
  <r>
    <x v="8"/>
    <x v="0"/>
    <d v="2021-05-16T11:22:00"/>
    <d v="2021-12-16T12:39:40"/>
    <n v="4919"/>
    <x v="8"/>
    <n v="2361"/>
    <n v="2.58E-2"/>
    <x v="8"/>
    <x v="8"/>
    <x v="0"/>
    <x v="1"/>
    <x v="2"/>
  </r>
  <r>
    <x v="9"/>
    <x v="0"/>
    <d v="2021-02-01T06:27:06"/>
    <d v="2021-02-24T19:28:01"/>
    <n v="8539"/>
    <x v="9"/>
    <n v="3495"/>
    <n v="3.8399999999999997E-2"/>
    <x v="9"/>
    <x v="9"/>
    <x v="2"/>
    <x v="1"/>
    <x v="2"/>
  </r>
  <r>
    <x v="10"/>
    <x v="2"/>
    <d v="2021-05-13T08:31:34"/>
    <d v="2021-09-29T06:57:27"/>
    <n v="9200"/>
    <x v="10"/>
    <n v="2475"/>
    <n v="0.1618"/>
    <x v="10"/>
    <x v="10"/>
    <x v="3"/>
    <x v="0"/>
    <x v="4"/>
  </r>
  <r>
    <x v="11"/>
    <x v="0"/>
    <d v="2021-06-19T17:51:42"/>
    <d v="2021-10-03T14:55:20"/>
    <n v="3686"/>
    <x v="11"/>
    <n v="695"/>
    <n v="0.1008"/>
    <x v="11"/>
    <x v="11"/>
    <x v="4"/>
    <x v="1"/>
    <x v="3"/>
  </r>
  <r>
    <x v="12"/>
    <x v="1"/>
    <d v="2021-04-18T08:44:01"/>
    <d v="2021-07-05T00:04:53"/>
    <n v="6418"/>
    <x v="12"/>
    <n v="2404"/>
    <n v="0.18490000000000001"/>
    <x v="12"/>
    <x v="12"/>
    <x v="0"/>
    <x v="0"/>
    <x v="1"/>
  </r>
  <r>
    <x v="13"/>
    <x v="2"/>
    <d v="2021-01-08T00:32:25"/>
    <d v="2021-02-05T23:14:21"/>
    <n v="5649"/>
    <x v="13"/>
    <n v="3817"/>
    <n v="5.1299999999999998E-2"/>
    <x v="13"/>
    <x v="13"/>
    <x v="3"/>
    <x v="0"/>
    <x v="3"/>
  </r>
  <r>
    <x v="14"/>
    <x v="2"/>
    <d v="2021-03-14T12:15:04"/>
    <d v="2021-03-21T12:15:04"/>
    <n v="2277"/>
    <x v="14"/>
    <n v="3519"/>
    <n v="0.1421"/>
    <x v="14"/>
    <x v="14"/>
    <x v="4"/>
    <x v="0"/>
    <x v="4"/>
  </r>
  <r>
    <x v="15"/>
    <x v="2"/>
    <d v="2021-08-17T08:08:19"/>
    <d v="2021-08-24T08:08:19"/>
    <n v="3861"/>
    <x v="15"/>
    <n v="1231"/>
    <n v="2.8299999999999999E-2"/>
    <x v="15"/>
    <x v="15"/>
    <x v="3"/>
    <x v="1"/>
    <x v="0"/>
  </r>
  <r>
    <x v="16"/>
    <x v="0"/>
    <d v="2021-08-12T10:33:23"/>
    <d v="2021-08-19T10:33:23"/>
    <n v="8838"/>
    <x v="16"/>
    <n v="2103"/>
    <n v="2.5399999999999999E-2"/>
    <x v="16"/>
    <x v="16"/>
    <x v="4"/>
    <x v="1"/>
    <x v="2"/>
  </r>
  <r>
    <x v="17"/>
    <x v="0"/>
    <d v="2021-08-23T14:17:34"/>
    <d v="2021-08-30T14:17:34"/>
    <n v="5893"/>
    <x v="17"/>
    <n v="3691"/>
    <n v="3.8100000000000002E-2"/>
    <x v="17"/>
    <x v="17"/>
    <x v="4"/>
    <x v="1"/>
    <x v="0"/>
  </r>
  <r>
    <x v="18"/>
    <x v="0"/>
    <d v="2021-05-25T03:32:16"/>
    <d v="2021-06-01T03:32:16"/>
    <n v="4817"/>
    <x v="18"/>
    <n v="3321"/>
    <n v="6.2300000000000001E-2"/>
    <x v="18"/>
    <x v="18"/>
    <x v="1"/>
    <x v="0"/>
    <x v="0"/>
  </r>
  <r>
    <x v="19"/>
    <x v="2"/>
    <d v="2021-08-30T11:52:03"/>
    <d v="2021-09-06T11:52:03"/>
    <n v="5105"/>
    <x v="19"/>
    <n v="2121"/>
    <n v="5.6399999999999999E-2"/>
    <x v="19"/>
    <x v="19"/>
    <x v="3"/>
    <x v="1"/>
    <x v="4"/>
  </r>
  <r>
    <x v="20"/>
    <x v="2"/>
    <d v="2021-07-20T14:50:25"/>
    <d v="2021-07-27T14:50:25"/>
    <n v="3062"/>
    <x v="20"/>
    <n v="1807"/>
    <n v="2.1100000000000001E-2"/>
    <x v="20"/>
    <x v="20"/>
    <x v="3"/>
    <x v="1"/>
    <x v="1"/>
  </r>
  <r>
    <x v="21"/>
    <x v="1"/>
    <d v="2021-08-30T05:14:05"/>
    <d v="2021-12-19T12:41:55"/>
    <n v="6713"/>
    <x v="21"/>
    <n v="1682"/>
    <n v="0.17760000000000001"/>
    <x v="21"/>
    <x v="21"/>
    <x v="0"/>
    <x v="1"/>
    <x v="0"/>
  </r>
  <r>
    <x v="22"/>
    <x v="2"/>
    <d v="2021-12-15T04:44:03"/>
    <d v="2021-12-22T04:44:03"/>
    <n v="9600"/>
    <x v="22"/>
    <n v="100"/>
    <n v="1.5E-3"/>
    <x v="22"/>
    <x v="22"/>
    <x v="2"/>
    <x v="1"/>
    <x v="2"/>
  </r>
  <r>
    <x v="23"/>
    <x v="0"/>
    <d v="2021-04-04T14:05:27"/>
    <d v="2021-12-20T08:47:28"/>
    <n v="5152"/>
    <x v="23"/>
    <n v="791"/>
    <n v="2.1700000000000001E-2"/>
    <x v="23"/>
    <x v="23"/>
    <x v="3"/>
    <x v="0"/>
    <x v="2"/>
  </r>
  <r>
    <x v="24"/>
    <x v="0"/>
    <d v="2021-07-13T14:40:01"/>
    <d v="2021-07-20T14:40:01"/>
    <n v="6735"/>
    <x v="24"/>
    <n v="3246"/>
    <n v="5.1200000000000002E-2"/>
    <x v="24"/>
    <x v="24"/>
    <x v="3"/>
    <x v="1"/>
    <x v="1"/>
  </r>
  <r>
    <x v="25"/>
    <x v="2"/>
    <d v="2021-11-01T09:17:45"/>
    <d v="2021-12-23T08:51:11"/>
    <n v="923"/>
    <x v="25"/>
    <n v="2647"/>
    <n v="3.8399999999999997E-2"/>
    <x v="25"/>
    <x v="25"/>
    <x v="0"/>
    <x v="0"/>
    <x v="1"/>
  </r>
  <r>
    <x v="26"/>
    <x v="1"/>
    <d v="2021-02-09T22:09:36"/>
    <d v="2021-11-06T08:43:11"/>
    <n v="7354"/>
    <x v="26"/>
    <n v="2886"/>
    <n v="3.09E-2"/>
    <x v="26"/>
    <x v="26"/>
    <x v="0"/>
    <x v="1"/>
    <x v="4"/>
  </r>
  <r>
    <x v="27"/>
    <x v="2"/>
    <d v="2021-08-04T23:54:50"/>
    <d v="2021-08-11T23:54:50"/>
    <n v="1467"/>
    <x v="27"/>
    <n v="2783"/>
    <n v="3.1399999999999997E-2"/>
    <x v="27"/>
    <x v="27"/>
    <x v="1"/>
    <x v="0"/>
    <x v="3"/>
  </r>
  <r>
    <x v="28"/>
    <x v="2"/>
    <d v="2021-08-30T02:46:47"/>
    <d v="2021-12-02T04:50:43"/>
    <n v="4870"/>
    <x v="28"/>
    <n v="443"/>
    <n v="5.0700000000000002E-2"/>
    <x v="28"/>
    <x v="28"/>
    <x v="2"/>
    <x v="0"/>
    <x v="2"/>
  </r>
  <r>
    <x v="29"/>
    <x v="2"/>
    <d v="2021-11-27T07:36:30"/>
    <d v="2021-12-04T07:36:30"/>
    <n v="9552"/>
    <x v="29"/>
    <n v="4478"/>
    <n v="4.9099999999999998E-2"/>
    <x v="29"/>
    <x v="29"/>
    <x v="2"/>
    <x v="1"/>
    <x v="0"/>
  </r>
  <r>
    <x v="30"/>
    <x v="0"/>
    <d v="2021-05-07T10:07:46"/>
    <d v="2021-05-31T09:21:59"/>
    <n v="6687"/>
    <x v="30"/>
    <n v="3287"/>
    <n v="0.11169999999999999"/>
    <x v="30"/>
    <x v="30"/>
    <x v="1"/>
    <x v="1"/>
    <x v="4"/>
  </r>
  <r>
    <x v="31"/>
    <x v="0"/>
    <d v="2021-10-07T00:23:56"/>
    <d v="2021-10-22T23:28:34"/>
    <n v="5703"/>
    <x v="31"/>
    <n v="4624"/>
    <n v="0.1857"/>
    <x v="31"/>
    <x v="31"/>
    <x v="0"/>
    <x v="0"/>
    <x v="1"/>
  </r>
  <r>
    <x v="32"/>
    <x v="0"/>
    <d v="2021-04-30T14:04:48"/>
    <d v="2021-06-07T07:45:04"/>
    <n v="933"/>
    <x v="32"/>
    <n v="927"/>
    <n v="3.3099999999999997E-2"/>
    <x v="32"/>
    <x v="32"/>
    <x v="0"/>
    <x v="0"/>
    <x v="0"/>
  </r>
  <r>
    <x v="33"/>
    <x v="2"/>
    <d v="2021-07-10T07:35:00"/>
    <d v="2021-07-17T07:35:00"/>
    <n v="6737"/>
    <x v="33"/>
    <n v="1949"/>
    <n v="2.52E-2"/>
    <x v="33"/>
    <x v="33"/>
    <x v="0"/>
    <x v="1"/>
    <x v="3"/>
  </r>
  <r>
    <x v="34"/>
    <x v="1"/>
    <d v="2021-03-03T12:13:57"/>
    <d v="2021-05-16T05:56:54"/>
    <n v="1929"/>
    <x v="34"/>
    <n v="2321"/>
    <n v="0.05"/>
    <x v="34"/>
    <x v="34"/>
    <x v="3"/>
    <x v="0"/>
    <x v="1"/>
  </r>
  <r>
    <x v="35"/>
    <x v="2"/>
    <d v="2021-06-27T12:49:44"/>
    <d v="2021-07-02T18:12:33"/>
    <n v="3046"/>
    <x v="35"/>
    <n v="3304"/>
    <n v="3.3500000000000002E-2"/>
    <x v="35"/>
    <x v="35"/>
    <x v="2"/>
    <x v="1"/>
    <x v="3"/>
  </r>
  <r>
    <x v="36"/>
    <x v="2"/>
    <d v="2021-11-07T14:14:39"/>
    <d v="2021-11-14T14:14:39"/>
    <n v="829"/>
    <x v="36"/>
    <n v="3613"/>
    <n v="5.3499999999999999E-2"/>
    <x v="36"/>
    <x v="36"/>
    <x v="2"/>
    <x v="1"/>
    <x v="3"/>
  </r>
  <r>
    <x v="37"/>
    <x v="0"/>
    <d v="2021-04-17T00:31:37"/>
    <d v="2021-08-19T12:44:26"/>
    <n v="4112"/>
    <x v="37"/>
    <n v="193"/>
    <n v="9.4999999999999998E-3"/>
    <x v="37"/>
    <x v="37"/>
    <x v="4"/>
    <x v="0"/>
    <x v="2"/>
  </r>
  <r>
    <x v="38"/>
    <x v="0"/>
    <d v="2021-01-07T14:33:30"/>
    <d v="2021-07-03T08:30:23"/>
    <n v="8901"/>
    <x v="38"/>
    <n v="2567"/>
    <n v="0.11219999999999999"/>
    <x v="38"/>
    <x v="38"/>
    <x v="4"/>
    <x v="0"/>
    <x v="2"/>
  </r>
  <r>
    <x v="39"/>
    <x v="2"/>
    <d v="2021-07-14T10:05:53"/>
    <d v="2021-07-21T10:05:53"/>
    <n v="7261"/>
    <x v="39"/>
    <n v="3878"/>
    <n v="0.10299999999999999"/>
    <x v="39"/>
    <x v="39"/>
    <x v="3"/>
    <x v="0"/>
    <x v="3"/>
  </r>
  <r>
    <x v="40"/>
    <x v="1"/>
    <d v="2021-10-02T21:57:59"/>
    <d v="2021-10-03T21:57:59"/>
    <n v="4468"/>
    <x v="40"/>
    <n v="504"/>
    <n v="0.13700000000000001"/>
    <x v="40"/>
    <x v="40"/>
    <x v="3"/>
    <x v="1"/>
    <x v="2"/>
  </r>
  <r>
    <x v="41"/>
    <x v="0"/>
    <d v="2021-02-22T15:31:05"/>
    <d v="2021-05-15T10:14:59"/>
    <n v="8650"/>
    <x v="41"/>
    <n v="1309"/>
    <n v="1.6799999999999999E-2"/>
    <x v="41"/>
    <x v="41"/>
    <x v="2"/>
    <x v="1"/>
    <x v="1"/>
  </r>
  <r>
    <x v="42"/>
    <x v="1"/>
    <d v="2021-08-22T18:20:22"/>
    <d v="2021-11-23T20:43:35"/>
    <n v="1540"/>
    <x v="42"/>
    <n v="475"/>
    <n v="6.6E-3"/>
    <x v="42"/>
    <x v="42"/>
    <x v="4"/>
    <x v="1"/>
    <x v="3"/>
  </r>
  <r>
    <x v="43"/>
    <x v="1"/>
    <d v="2021-12-07T08:53:31"/>
    <d v="2021-12-27T18:36:30"/>
    <n v="6750"/>
    <x v="43"/>
    <n v="4045"/>
    <n v="0.1255"/>
    <x v="43"/>
    <x v="43"/>
    <x v="1"/>
    <x v="1"/>
    <x v="3"/>
  </r>
  <r>
    <x v="44"/>
    <x v="2"/>
    <d v="2021-11-24T13:46:58"/>
    <d v="2021-12-01T13:46:58"/>
    <n v="8856"/>
    <x v="44"/>
    <n v="2850"/>
    <n v="4.1200000000000001E-2"/>
    <x v="44"/>
    <x v="44"/>
    <x v="0"/>
    <x v="1"/>
    <x v="4"/>
  </r>
  <r>
    <x v="45"/>
    <x v="2"/>
    <d v="2021-02-04T02:35:44"/>
    <d v="2021-05-26T13:39:26"/>
    <n v="9298"/>
    <x v="45"/>
    <n v="597"/>
    <n v="6.8999999999999999E-3"/>
    <x v="45"/>
    <x v="45"/>
    <x v="2"/>
    <x v="0"/>
    <x v="4"/>
  </r>
  <r>
    <x v="46"/>
    <x v="2"/>
    <d v="2021-11-08T14:12:51"/>
    <d v="2021-11-15T14:12:51"/>
    <n v="8204"/>
    <x v="46"/>
    <n v="1538"/>
    <n v="4.8300000000000003E-2"/>
    <x v="46"/>
    <x v="46"/>
    <x v="1"/>
    <x v="0"/>
    <x v="4"/>
  </r>
  <r>
    <x v="47"/>
    <x v="1"/>
    <d v="2021-08-24T08:45:00"/>
    <d v="2021-12-23T16:36:58"/>
    <n v="7272"/>
    <x v="47"/>
    <n v="838"/>
    <n v="2.06E-2"/>
    <x v="47"/>
    <x v="47"/>
    <x v="3"/>
    <x v="0"/>
    <x v="4"/>
  </r>
  <r>
    <x v="48"/>
    <x v="0"/>
    <d v="2021-02-24T18:09:24"/>
    <d v="2021-03-14T15:42:03"/>
    <n v="5811"/>
    <x v="48"/>
    <n v="1851"/>
    <n v="1"/>
    <x v="48"/>
    <x v="48"/>
    <x v="0"/>
    <x v="0"/>
    <x v="0"/>
  </r>
  <r>
    <x v="49"/>
    <x v="0"/>
    <d v="2021-07-18T18:47:32"/>
    <d v="2021-10-17T12:37:26"/>
    <n v="9911"/>
    <x v="49"/>
    <n v="3390"/>
    <n v="0.56240000000000001"/>
    <x v="49"/>
    <x v="49"/>
    <x v="3"/>
    <x v="0"/>
    <x v="4"/>
  </r>
  <r>
    <x v="50"/>
    <x v="2"/>
    <d v="2021-01-24T23:24:52"/>
    <d v="2021-08-05T09:06:55"/>
    <n v="9644"/>
    <x v="50"/>
    <n v="2075"/>
    <n v="9.8000000000000004E-2"/>
    <x v="50"/>
    <x v="50"/>
    <x v="4"/>
    <x v="1"/>
    <x v="1"/>
  </r>
  <r>
    <x v="51"/>
    <x v="0"/>
    <d v="2021-10-13T22:06:55"/>
    <d v="2021-10-20T22:06:55"/>
    <n v="6511"/>
    <x v="51"/>
    <n v="1662"/>
    <n v="1.84E-2"/>
    <x v="51"/>
    <x v="51"/>
    <x v="1"/>
    <x v="0"/>
    <x v="0"/>
  </r>
  <r>
    <x v="52"/>
    <x v="1"/>
    <d v="2021-09-09T12:13:55"/>
    <d v="2021-09-16T12:13:55"/>
    <n v="3298"/>
    <x v="52"/>
    <n v="560"/>
    <n v="1.37E-2"/>
    <x v="52"/>
    <x v="52"/>
    <x v="0"/>
    <x v="1"/>
    <x v="1"/>
  </r>
  <r>
    <x v="53"/>
    <x v="1"/>
    <d v="2021-08-21T04:30:28"/>
    <d v="2021-08-28T04:30:28"/>
    <n v="8852"/>
    <x v="53"/>
    <n v="3774"/>
    <n v="4.1399999999999999E-2"/>
    <x v="53"/>
    <x v="53"/>
    <x v="0"/>
    <x v="1"/>
    <x v="4"/>
  </r>
  <r>
    <x v="54"/>
    <x v="0"/>
    <d v="2021-06-13T15:02:00"/>
    <d v="2021-06-20T15:02:00"/>
    <n v="2695"/>
    <x v="54"/>
    <n v="3223"/>
    <n v="5.7500000000000002E-2"/>
    <x v="54"/>
    <x v="54"/>
    <x v="3"/>
    <x v="0"/>
    <x v="3"/>
  </r>
  <r>
    <x v="55"/>
    <x v="1"/>
    <d v="2021-09-25T02:33:51"/>
    <d v="2021-10-23T15:39:00"/>
    <n v="5180"/>
    <x v="55"/>
    <n v="1938"/>
    <n v="2.5700000000000001E-2"/>
    <x v="55"/>
    <x v="55"/>
    <x v="2"/>
    <x v="1"/>
    <x v="0"/>
  </r>
  <r>
    <x v="56"/>
    <x v="1"/>
    <d v="2021-04-22T06:08:35"/>
    <d v="2021-11-11T07:09:46"/>
    <n v="7099"/>
    <x v="56"/>
    <n v="1568"/>
    <n v="6.8099999999999994E-2"/>
    <x v="56"/>
    <x v="56"/>
    <x v="1"/>
    <x v="0"/>
    <x v="3"/>
  </r>
  <r>
    <x v="57"/>
    <x v="1"/>
    <d v="2021-05-16T04:35:35"/>
    <d v="2021-05-23T04:35:35"/>
    <n v="9803"/>
    <x v="57"/>
    <n v="4836"/>
    <n v="0.12330000000000001"/>
    <x v="57"/>
    <x v="57"/>
    <x v="0"/>
    <x v="1"/>
    <x v="1"/>
  </r>
  <r>
    <x v="58"/>
    <x v="2"/>
    <d v="2021-02-19T17:12:45"/>
    <d v="2021-05-24T00:46:45"/>
    <n v="3585"/>
    <x v="58"/>
    <n v="3566"/>
    <n v="4.2900000000000001E-2"/>
    <x v="58"/>
    <x v="58"/>
    <x v="0"/>
    <x v="0"/>
    <x v="1"/>
  </r>
  <r>
    <x v="59"/>
    <x v="2"/>
    <d v="2021-01-04T22:57:25"/>
    <d v="2021-08-22T17:24:00"/>
    <n v="6213"/>
    <x v="59"/>
    <n v="4143"/>
    <n v="0.1159"/>
    <x v="59"/>
    <x v="59"/>
    <x v="4"/>
    <x v="1"/>
    <x v="0"/>
  </r>
  <r>
    <x v="60"/>
    <x v="0"/>
    <d v="2021-09-24T23:11:45"/>
    <d v="2021-10-01T23:11:45"/>
    <n v="5740"/>
    <x v="60"/>
    <n v="4523"/>
    <n v="5.4100000000000002E-2"/>
    <x v="60"/>
    <x v="60"/>
    <x v="1"/>
    <x v="1"/>
    <x v="1"/>
  </r>
  <r>
    <x v="61"/>
    <x v="0"/>
    <d v="2021-03-05T02:59:53"/>
    <d v="2021-07-31T16:38:59"/>
    <n v="1232"/>
    <x v="61"/>
    <n v="2384"/>
    <n v="1"/>
    <x v="61"/>
    <x v="61"/>
    <x v="1"/>
    <x v="0"/>
    <x v="0"/>
  </r>
  <r>
    <x v="62"/>
    <x v="0"/>
    <d v="2021-03-18T10:30:24"/>
    <d v="2021-11-09T00:35:43"/>
    <n v="5528"/>
    <x v="62"/>
    <n v="3087"/>
    <n v="3.8399999999999997E-2"/>
    <x v="62"/>
    <x v="62"/>
    <x v="0"/>
    <x v="1"/>
    <x v="1"/>
  </r>
  <r>
    <x v="63"/>
    <x v="1"/>
    <d v="2021-02-03T20:08:37"/>
    <d v="2021-10-14T06:55:26"/>
    <n v="8973"/>
    <x v="63"/>
    <n v="4790"/>
    <n v="7.1900000000000006E-2"/>
    <x v="63"/>
    <x v="63"/>
    <x v="1"/>
    <x v="0"/>
    <x v="3"/>
  </r>
  <r>
    <x v="64"/>
    <x v="1"/>
    <d v="2021-06-16T14:13:20"/>
    <d v="2021-10-09T06:57:53"/>
    <n v="8094"/>
    <x v="64"/>
    <n v="3563"/>
    <n v="5.0500000000000003E-2"/>
    <x v="64"/>
    <x v="64"/>
    <x v="1"/>
    <x v="0"/>
    <x v="2"/>
  </r>
  <r>
    <x v="65"/>
    <x v="2"/>
    <d v="2021-04-10T18:55:46"/>
    <d v="2021-04-17T18:55:46"/>
    <n v="5066"/>
    <x v="65"/>
    <n v="3392"/>
    <n v="6.4399999999999999E-2"/>
    <x v="65"/>
    <x v="65"/>
    <x v="0"/>
    <x v="1"/>
    <x v="4"/>
  </r>
  <r>
    <x v="66"/>
    <x v="2"/>
    <d v="2021-04-27T17:45:06"/>
    <d v="2021-06-08T19:46:56"/>
    <n v="7944"/>
    <x v="66"/>
    <n v="2981"/>
    <n v="4.6800000000000001E-2"/>
    <x v="66"/>
    <x v="66"/>
    <x v="0"/>
    <x v="1"/>
    <x v="4"/>
  </r>
  <r>
    <x v="67"/>
    <x v="0"/>
    <d v="2021-06-08T17:57:23"/>
    <d v="2021-06-15T17:57:23"/>
    <n v="3896"/>
    <x v="67"/>
    <n v="3008"/>
    <n v="5.6000000000000001E-2"/>
    <x v="67"/>
    <x v="67"/>
    <x v="3"/>
    <x v="1"/>
    <x v="2"/>
  </r>
  <r>
    <x v="68"/>
    <x v="0"/>
    <d v="2021-01-10T20:55:41"/>
    <d v="2021-02-21T01:29:20"/>
    <n v="5847"/>
    <x v="68"/>
    <n v="434"/>
    <n v="2.1600000000000001E-2"/>
    <x v="68"/>
    <x v="68"/>
    <x v="3"/>
    <x v="0"/>
    <x v="2"/>
  </r>
  <r>
    <x v="69"/>
    <x v="1"/>
    <d v="2021-06-13T04:47:35"/>
    <d v="2021-10-18T15:24:05"/>
    <n v="7534"/>
    <x v="69"/>
    <n v="841"/>
    <n v="1.77E-2"/>
    <x v="69"/>
    <x v="69"/>
    <x v="3"/>
    <x v="0"/>
    <x v="0"/>
  </r>
  <r>
    <x v="70"/>
    <x v="2"/>
    <d v="2021-09-01T00:18:17"/>
    <d v="2021-09-08T00:18:17"/>
    <n v="1095"/>
    <x v="70"/>
    <n v="1343"/>
    <n v="1.44E-2"/>
    <x v="70"/>
    <x v="70"/>
    <x v="3"/>
    <x v="1"/>
    <x v="1"/>
  </r>
  <r>
    <x v="71"/>
    <x v="2"/>
    <d v="2021-01-07T05:28:32"/>
    <d v="2021-07-29T07:49:30"/>
    <n v="1147"/>
    <x v="71"/>
    <n v="200"/>
    <n v="2.3E-3"/>
    <x v="71"/>
    <x v="71"/>
    <x v="1"/>
    <x v="0"/>
    <x v="3"/>
  </r>
  <r>
    <x v="72"/>
    <x v="1"/>
    <d v="2021-03-19T09:31:30"/>
    <d v="2021-05-31T08:02:51"/>
    <n v="1073"/>
    <x v="72"/>
    <n v="2563"/>
    <n v="6.8900000000000003E-2"/>
    <x v="72"/>
    <x v="72"/>
    <x v="4"/>
    <x v="1"/>
    <x v="4"/>
  </r>
  <r>
    <x v="73"/>
    <x v="0"/>
    <d v="2021-05-30T13:57:14"/>
    <d v="2021-06-06T13:57:14"/>
    <n v="7297"/>
    <x v="73"/>
    <n v="2369"/>
    <n v="0.26290000000000002"/>
    <x v="73"/>
    <x v="73"/>
    <x v="0"/>
    <x v="0"/>
    <x v="2"/>
  </r>
  <r>
    <x v="74"/>
    <x v="2"/>
    <d v="2021-12-18T20:01:27"/>
    <d v="2021-12-25T20:01:27"/>
    <n v="6137"/>
    <x v="74"/>
    <n v="274"/>
    <n v="4.4999999999999997E-3"/>
    <x v="74"/>
    <x v="74"/>
    <x v="0"/>
    <x v="1"/>
    <x v="2"/>
  </r>
  <r>
    <x v="75"/>
    <x v="2"/>
    <d v="2021-03-18T13:32:50"/>
    <d v="2021-03-25T13:32:50"/>
    <n v="8948"/>
    <x v="75"/>
    <n v="705"/>
    <n v="8.8000000000000005E-3"/>
    <x v="75"/>
    <x v="75"/>
    <x v="2"/>
    <x v="0"/>
    <x v="2"/>
  </r>
  <r>
    <x v="76"/>
    <x v="2"/>
    <d v="2021-09-30T13:40:50"/>
    <d v="2021-10-07T13:40:50"/>
    <n v="5759"/>
    <x v="76"/>
    <n v="3845"/>
    <n v="7.3800000000000004E-2"/>
    <x v="76"/>
    <x v="76"/>
    <x v="4"/>
    <x v="1"/>
    <x v="1"/>
  </r>
  <r>
    <x v="77"/>
    <x v="2"/>
    <d v="2021-01-10T23:11:31"/>
    <d v="2021-07-27T10:33:02"/>
    <n v="9720"/>
    <x v="77"/>
    <n v="4976"/>
    <n v="6.88E-2"/>
    <x v="77"/>
    <x v="77"/>
    <x v="4"/>
    <x v="1"/>
    <x v="3"/>
  </r>
  <r>
    <x v="78"/>
    <x v="2"/>
    <d v="2021-03-23T21:32:43"/>
    <d v="2021-10-20T12:38:27"/>
    <n v="7067"/>
    <x v="78"/>
    <n v="3908"/>
    <n v="0.19209999999999999"/>
    <x v="78"/>
    <x v="78"/>
    <x v="0"/>
    <x v="0"/>
    <x v="2"/>
  </r>
  <r>
    <x v="79"/>
    <x v="1"/>
    <d v="2021-09-05T03:58:10"/>
    <d v="2021-09-12T03:58:10"/>
    <n v="4944"/>
    <x v="79"/>
    <n v="1869"/>
    <n v="2.53E-2"/>
    <x v="79"/>
    <x v="79"/>
    <x v="4"/>
    <x v="0"/>
    <x v="3"/>
  </r>
  <r>
    <x v="80"/>
    <x v="1"/>
    <d v="2021-07-23T21:13:07"/>
    <d v="2021-10-12T17:15:00"/>
    <n v="3489"/>
    <x v="80"/>
    <n v="948"/>
    <n v="1.7500000000000002E-2"/>
    <x v="80"/>
    <x v="80"/>
    <x v="2"/>
    <x v="1"/>
    <x v="4"/>
  </r>
  <r>
    <x v="81"/>
    <x v="1"/>
    <d v="2021-02-27T11:42:42"/>
    <d v="2021-05-13T06:02:54"/>
    <n v="1086"/>
    <x v="81"/>
    <n v="1190"/>
    <n v="7.5800000000000006E-2"/>
    <x v="81"/>
    <x v="81"/>
    <x v="1"/>
    <x v="0"/>
    <x v="0"/>
  </r>
  <r>
    <x v="82"/>
    <x v="0"/>
    <d v="2021-01-10T11:16:57"/>
    <d v="2021-12-19T16:47:54"/>
    <n v="5602"/>
    <x v="82"/>
    <n v="2273"/>
    <n v="3.9600000000000003E-2"/>
    <x v="82"/>
    <x v="82"/>
    <x v="3"/>
    <x v="1"/>
    <x v="0"/>
  </r>
  <r>
    <x v="83"/>
    <x v="2"/>
    <d v="2021-10-08T01:37:05"/>
    <d v="2021-10-15T01:37:05"/>
    <n v="8101"/>
    <x v="83"/>
    <n v="1262"/>
    <n v="1.44E-2"/>
    <x v="83"/>
    <x v="83"/>
    <x v="2"/>
    <x v="1"/>
    <x v="4"/>
  </r>
  <r>
    <x v="84"/>
    <x v="1"/>
    <d v="2021-08-01T19:30:30"/>
    <d v="2021-10-29T16:32:43"/>
    <n v="1239"/>
    <x v="84"/>
    <n v="4820"/>
    <n v="0.1835"/>
    <x v="84"/>
    <x v="84"/>
    <x v="3"/>
    <x v="0"/>
    <x v="0"/>
  </r>
  <r>
    <x v="85"/>
    <x v="2"/>
    <d v="2021-03-18T18:18:16"/>
    <d v="2021-06-16T10:10:19"/>
    <n v="5382"/>
    <x v="85"/>
    <n v="1279"/>
    <n v="1.54E-2"/>
    <x v="85"/>
    <x v="85"/>
    <x v="0"/>
    <x v="1"/>
    <x v="2"/>
  </r>
  <r>
    <x v="86"/>
    <x v="2"/>
    <d v="2021-11-15T08:57:38"/>
    <d v="2021-12-04T22:09:55"/>
    <n v="5910"/>
    <x v="86"/>
    <n v="796"/>
    <n v="2.4799999999999999E-2"/>
    <x v="86"/>
    <x v="86"/>
    <x v="1"/>
    <x v="0"/>
    <x v="1"/>
  </r>
  <r>
    <x v="87"/>
    <x v="2"/>
    <d v="2021-11-22T13:25:36"/>
    <d v="2021-11-29T13:25:36"/>
    <n v="937"/>
    <x v="87"/>
    <n v="4517"/>
    <n v="8.3299999999999999E-2"/>
    <x v="87"/>
    <x v="87"/>
    <x v="2"/>
    <x v="1"/>
    <x v="0"/>
  </r>
  <r>
    <x v="88"/>
    <x v="2"/>
    <d v="2021-09-28T20:27:34"/>
    <d v="2021-10-05T20:27:34"/>
    <n v="4398"/>
    <x v="88"/>
    <n v="2596"/>
    <n v="3.61E-2"/>
    <x v="88"/>
    <x v="88"/>
    <x v="4"/>
    <x v="0"/>
    <x v="4"/>
  </r>
  <r>
    <x v="89"/>
    <x v="0"/>
    <d v="2021-12-10T21:05:42"/>
    <d v="2021-12-17T21:05:42"/>
    <n v="2347"/>
    <x v="89"/>
    <n v="2857"/>
    <n v="0.11700000000000001"/>
    <x v="89"/>
    <x v="89"/>
    <x v="1"/>
    <x v="1"/>
    <x v="1"/>
  </r>
  <r>
    <x v="90"/>
    <x v="1"/>
    <d v="2021-12-24T16:51:58"/>
    <d v="2021-12-31T16:51:58"/>
    <n v="1520"/>
    <x v="90"/>
    <n v="4028"/>
    <n v="4.1200000000000001E-2"/>
    <x v="90"/>
    <x v="90"/>
    <x v="2"/>
    <x v="0"/>
    <x v="4"/>
  </r>
  <r>
    <x v="91"/>
    <x v="1"/>
    <d v="2021-10-23T14:25:55"/>
    <d v="2021-10-30T14:25:55"/>
    <n v="7430"/>
    <x v="91"/>
    <n v="4147"/>
    <n v="0.28160000000000002"/>
    <x v="91"/>
    <x v="91"/>
    <x v="1"/>
    <x v="1"/>
    <x v="2"/>
  </r>
  <r>
    <x v="92"/>
    <x v="0"/>
    <d v="2021-02-13T15:26:52"/>
    <d v="2021-02-20T15:26:52"/>
    <n v="1441"/>
    <x v="92"/>
    <n v="2151"/>
    <n v="8.6599999999999996E-2"/>
    <x v="92"/>
    <x v="92"/>
    <x v="0"/>
    <x v="0"/>
    <x v="4"/>
  </r>
  <r>
    <x v="93"/>
    <x v="2"/>
    <d v="2021-05-11T06:29:33"/>
    <d v="2021-08-22T09:55:42"/>
    <n v="9141"/>
    <x v="93"/>
    <n v="3410"/>
    <n v="5.9700000000000003E-2"/>
    <x v="93"/>
    <x v="93"/>
    <x v="4"/>
    <x v="0"/>
    <x v="2"/>
  </r>
  <r>
    <x v="94"/>
    <x v="2"/>
    <d v="2021-10-17T03:40:08"/>
    <d v="2021-10-23T08:31:57"/>
    <n v="6110"/>
    <x v="94"/>
    <n v="1847"/>
    <n v="2.6100000000000002E-2"/>
    <x v="94"/>
    <x v="94"/>
    <x v="3"/>
    <x v="1"/>
    <x v="0"/>
  </r>
  <r>
    <x v="95"/>
    <x v="0"/>
    <d v="2021-12-20T20:35:14"/>
    <d v="2021-12-27T20:35:14"/>
    <n v="9508"/>
    <x v="95"/>
    <n v="3004"/>
    <n v="4.4699999999999997E-2"/>
    <x v="95"/>
    <x v="95"/>
    <x v="3"/>
    <x v="0"/>
    <x v="1"/>
  </r>
  <r>
    <x v="96"/>
    <x v="0"/>
    <d v="2021-01-31T10:28:46"/>
    <d v="2021-02-10T17:07:46"/>
    <n v="2607"/>
    <x v="96"/>
    <n v="1002"/>
    <n v="3.5999999999999997E-2"/>
    <x v="96"/>
    <x v="96"/>
    <x v="3"/>
    <x v="1"/>
    <x v="3"/>
  </r>
  <r>
    <x v="97"/>
    <x v="0"/>
    <d v="2021-12-26T05:28:11"/>
    <d v="2022-01-02T05:28:11"/>
    <n v="4759"/>
    <x v="97"/>
    <n v="3968"/>
    <n v="4.6699999999999998E-2"/>
    <x v="97"/>
    <x v="97"/>
    <x v="2"/>
    <x v="1"/>
    <x v="1"/>
  </r>
  <r>
    <x v="98"/>
    <x v="1"/>
    <d v="2021-06-28T23:38:24"/>
    <d v="2021-11-23T09:06:48"/>
    <n v="1445"/>
    <x v="98"/>
    <n v="4823"/>
    <n v="0.38690000000000002"/>
    <x v="98"/>
    <x v="98"/>
    <x v="1"/>
    <x v="0"/>
    <x v="3"/>
  </r>
  <r>
    <x v="99"/>
    <x v="2"/>
    <d v="2021-10-31T13:34:00"/>
    <d v="2021-11-07T13:34:00"/>
    <n v="8893"/>
    <x v="99"/>
    <n v="704"/>
    <n v="8.8000000000000005E-3"/>
    <x v="99"/>
    <x v="99"/>
    <x v="4"/>
    <x v="0"/>
    <x v="0"/>
  </r>
  <r>
    <x v="100"/>
    <x v="2"/>
    <d v="2024-01-05T00:00:00"/>
    <d v="2024-02-10T00:00:00"/>
    <n v="3657"/>
    <x v="100"/>
    <n v="4302"/>
    <n v="0.15340000000000001"/>
    <x v="100"/>
    <x v="100"/>
    <x v="1"/>
    <x v="1"/>
    <x v="1"/>
  </r>
  <r>
    <x v="101"/>
    <x v="2"/>
    <d v="2024-01-23T00:00:00"/>
    <d v="2024-02-28T00:00:00"/>
    <n v="6415"/>
    <x v="101"/>
    <n v="3237"/>
    <n v="8.9700000000000002E-2"/>
    <x v="101"/>
    <x v="101"/>
    <x v="4"/>
    <x v="0"/>
    <x v="2"/>
  </r>
  <r>
    <x v="102"/>
    <x v="0"/>
    <d v="2024-01-07T00:00:00"/>
    <d v="2024-02-03T00:00:00"/>
    <n v="3193"/>
    <x v="102"/>
    <n v="8392"/>
    <n v="9.7799999999999998E-2"/>
    <x v="102"/>
    <x v="102"/>
    <x v="4"/>
    <x v="1"/>
    <x v="1"/>
  </r>
  <r>
    <x v="103"/>
    <x v="0"/>
    <d v="2024-01-13T00:00:00"/>
    <d v="2024-02-12T00:00:00"/>
    <n v="4127"/>
    <x v="103"/>
    <n v="6504"/>
    <n v="0.253"/>
    <x v="103"/>
    <x v="103"/>
    <x v="1"/>
    <x v="0"/>
    <x v="2"/>
  </r>
  <r>
    <x v="104"/>
    <x v="1"/>
    <d v="2024-01-15T00:00:00"/>
    <d v="2024-02-06T00:00:00"/>
    <n v="5950"/>
    <x v="104"/>
    <n v="6496"/>
    <n v="0.20319999999999999"/>
    <x v="104"/>
    <x v="104"/>
    <x v="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133074-883D-4933-A211-638A1796A33F}" name="Tableau croisé dynamique2" cacheId="1" applyNumberFormats="0" applyBorderFormats="0" applyFontFormats="0" applyPatternFormats="0" applyAlignmentFormats="0" applyWidthHeightFormats="1" dataCaption="Valeurs" updatedVersion="8" minRefreshableVersion="3" useAutoFormatting="1" itemPrintTitles="1" createdVersion="8" indent="0" multipleFieldFilters="0" rowHeaderCaption="Sexe et Tranche d'âge">
  <location ref="B44:F47" firstHeaderRow="0" firstDataRow="1" firstDataCol="1"/>
  <pivotFields count="13">
    <pivotField dataField="1" showAll="0" sumSubtotal="1">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t="sum"/>
      </items>
    </pivotField>
    <pivotField showAll="0">
      <items count="4">
        <item x="0"/>
        <item h="1" x="2"/>
        <item h="1" x="1"/>
        <item t="default"/>
      </items>
    </pivotField>
    <pivotField numFmtId="165" showAll="0"/>
    <pivotField numFmtId="14" showAll="0"/>
    <pivotField numFmtId="164" showAll="0"/>
    <pivotField dataField="1" showAll="0">
      <items count="106">
        <item x="48"/>
        <item x="61"/>
        <item x="40"/>
        <item x="49"/>
        <item x="11"/>
        <item x="28"/>
        <item x="73"/>
        <item x="21"/>
        <item x="98"/>
        <item x="12"/>
        <item x="91"/>
        <item x="10"/>
        <item x="81"/>
        <item x="6"/>
        <item x="68"/>
        <item x="78"/>
        <item x="37"/>
        <item x="50"/>
        <item x="38"/>
        <item x="56"/>
        <item x="89"/>
        <item x="14"/>
        <item x="92"/>
        <item x="31"/>
        <item x="103"/>
        <item x="84"/>
        <item x="96"/>
        <item x="32"/>
        <item x="100"/>
        <item x="30"/>
        <item x="46"/>
        <item x="104"/>
        <item x="86"/>
        <item x="43"/>
        <item x="59"/>
        <item x="101"/>
        <item x="23"/>
        <item x="72"/>
        <item x="19"/>
        <item x="39"/>
        <item x="57"/>
        <item x="47"/>
        <item x="52"/>
        <item x="15"/>
        <item x="34"/>
        <item x="69"/>
        <item x="2"/>
        <item x="76"/>
        <item x="65"/>
        <item x="18"/>
        <item x="67"/>
        <item x="80"/>
        <item x="87"/>
        <item x="54"/>
        <item x="93"/>
        <item x="82"/>
        <item x="0"/>
        <item x="74"/>
        <item x="24"/>
        <item x="66"/>
        <item x="7"/>
        <item x="63"/>
        <item x="95"/>
        <item x="4"/>
        <item x="22"/>
        <item x="36"/>
        <item x="3"/>
        <item x="25"/>
        <item x="44"/>
        <item x="64"/>
        <item x="94"/>
        <item x="42"/>
        <item x="88"/>
        <item x="77"/>
        <item x="79"/>
        <item x="13"/>
        <item x="55"/>
        <item x="33"/>
        <item x="41"/>
        <item x="75"/>
        <item x="99"/>
        <item x="62"/>
        <item x="16"/>
        <item x="58"/>
        <item x="85"/>
        <item x="60"/>
        <item x="1"/>
        <item x="97"/>
        <item x="20"/>
        <item x="102"/>
        <item x="45"/>
        <item x="83"/>
        <item x="71"/>
        <item x="27"/>
        <item x="51"/>
        <item x="9"/>
        <item x="53"/>
        <item x="29"/>
        <item x="8"/>
        <item x="70"/>
        <item x="26"/>
        <item x="17"/>
        <item x="5"/>
        <item x="90"/>
        <item x="35"/>
        <item t="default"/>
      </items>
    </pivotField>
    <pivotField showAll="0"/>
    <pivotField numFmtId="10" showAll="0"/>
    <pivotField dataField="1" numFmtId="164" showAll="0"/>
    <pivotField dataField="1" numFmtId="9" showAll="0"/>
    <pivotField axis="axisRow" showAll="0">
      <items count="6">
        <item x="0"/>
        <item x="1"/>
        <item x="4"/>
        <item x="3"/>
        <item x="2"/>
        <item t="default"/>
      </items>
    </pivotField>
    <pivotField axis="axisRow" showAll="0">
      <items count="3">
        <item sd="0" x="1"/>
        <item sd="0" x="0"/>
        <item t="default"/>
      </items>
    </pivotField>
    <pivotField showAll="0">
      <items count="6">
        <item x="0"/>
        <item x="3"/>
        <item x="2"/>
        <item x="4"/>
        <item x="1"/>
        <item t="default"/>
      </items>
    </pivotField>
  </pivotFields>
  <rowFields count="2">
    <field x="11"/>
    <field x="10"/>
  </rowFields>
  <rowItems count="3">
    <i>
      <x/>
    </i>
    <i>
      <x v="1"/>
    </i>
    <i t="grand">
      <x/>
    </i>
  </rowItems>
  <colFields count="1">
    <field x="-2"/>
  </colFields>
  <colItems count="4">
    <i>
      <x/>
    </i>
    <i i="1">
      <x v="1"/>
    </i>
    <i i="2">
      <x v="2"/>
    </i>
    <i i="3">
      <x v="3"/>
    </i>
  </colItems>
  <dataFields count="4">
    <dataField name="Nombre total de campagnes" fld="0" subtotal="count" baseField="11" baseItem="1"/>
    <dataField name="Total des Vues" fld="5" baseField="0" baseItem="0"/>
    <dataField name="Total des Ventes Générées (€)" fld="8" baseField="0" baseItem="0" numFmtId="164"/>
    <dataField name=" ROI Moyen (%)" fld="9" subtotal="average" baseField="11" baseItem="0" numFmtId="10"/>
  </dataFields>
  <formats count="23">
    <format dxfId="751">
      <pivotArea dataOnly="0" labelOnly="1" outline="0" fieldPosition="0">
        <references count="1">
          <reference field="4294967294" count="3">
            <x v="0"/>
            <x v="1"/>
            <x v="2"/>
          </reference>
        </references>
      </pivotArea>
    </format>
    <format dxfId="750">
      <pivotArea dataOnly="0" labelOnly="1" outline="0" fieldPosition="0">
        <references count="1">
          <reference field="4294967294" count="3">
            <x v="0"/>
            <x v="1"/>
            <x v="2"/>
          </reference>
        </references>
      </pivotArea>
    </format>
    <format dxfId="749">
      <pivotArea dataOnly="0" labelOnly="1" outline="0" fieldPosition="0">
        <references count="1">
          <reference field="4294967294" count="3">
            <x v="0"/>
            <x v="1"/>
            <x v="2"/>
          </reference>
        </references>
      </pivotArea>
    </format>
    <format dxfId="748">
      <pivotArea dataOnly="0" labelOnly="1" outline="0" fieldPosition="0">
        <references count="1">
          <reference field="4294967294" count="1">
            <x v="3"/>
          </reference>
        </references>
      </pivotArea>
    </format>
    <format dxfId="747">
      <pivotArea dataOnly="0" labelOnly="1" outline="0" fieldPosition="0">
        <references count="1">
          <reference field="4294967294" count="1">
            <x v="3"/>
          </reference>
        </references>
      </pivotArea>
    </format>
    <format dxfId="746">
      <pivotArea dataOnly="0" labelOnly="1" outline="0" fieldPosition="0">
        <references count="1">
          <reference field="4294967294" count="1">
            <x v="3"/>
          </reference>
        </references>
      </pivotArea>
    </format>
    <format dxfId="745">
      <pivotArea outline="0" collapsedLevelsAreSubtotals="1" fieldPosition="0"/>
    </format>
    <format dxfId="744">
      <pivotArea field="11" type="button" dataOnly="0" labelOnly="1" outline="0" axis="axisRow" fieldPosition="0"/>
    </format>
    <format dxfId="743">
      <pivotArea field="11" type="button" dataOnly="0" labelOnly="1" outline="0" axis="axisRow" fieldPosition="0"/>
    </format>
    <format dxfId="742">
      <pivotArea field="11" type="button" dataOnly="0" labelOnly="1" outline="0" axis="axisRow" fieldPosition="0"/>
    </format>
    <format dxfId="741">
      <pivotArea field="11" type="button" dataOnly="0" labelOnly="1" outline="0" axis="axisRow" fieldPosition="0"/>
    </format>
    <format dxfId="740">
      <pivotArea dataOnly="0" labelOnly="1" outline="0" fieldPosition="0">
        <references count="1">
          <reference field="4294967294" count="4">
            <x v="0"/>
            <x v="1"/>
            <x v="2"/>
            <x v="3"/>
          </reference>
        </references>
      </pivotArea>
    </format>
    <format dxfId="739">
      <pivotArea field="11" type="button" dataOnly="0" labelOnly="1" outline="0" axis="axisRow" fieldPosition="0"/>
    </format>
    <format dxfId="738">
      <pivotArea dataOnly="0" labelOnly="1" outline="0" fieldPosition="0">
        <references count="1">
          <reference field="4294967294" count="4">
            <x v="0"/>
            <x v="1"/>
            <x v="2"/>
            <x v="3"/>
          </reference>
        </references>
      </pivotArea>
    </format>
    <format dxfId="737">
      <pivotArea outline="0" collapsedLevelsAreSubtotals="1" fieldPosition="0"/>
    </format>
    <format dxfId="736">
      <pivotArea dataOnly="0" labelOnly="1" fieldPosition="0">
        <references count="1">
          <reference field="11" count="0"/>
        </references>
      </pivotArea>
    </format>
    <format dxfId="735">
      <pivotArea dataOnly="0" labelOnly="1" grandRow="1" outline="0" fieldPosition="0"/>
    </format>
    <format dxfId="734">
      <pivotArea outline="0" collapsedLevelsAreSubtotals="1" fieldPosition="0">
        <references count="1">
          <reference field="4294967294" count="1" selected="0">
            <x v="0"/>
          </reference>
        </references>
      </pivotArea>
    </format>
    <format dxfId="733">
      <pivotArea dataOnly="0" labelOnly="1" fieldPosition="0">
        <references count="1">
          <reference field="11" count="0"/>
        </references>
      </pivotArea>
    </format>
    <format dxfId="732">
      <pivotArea dataOnly="0" labelOnly="1" grandRow="1" outline="0" fieldPosition="0"/>
    </format>
    <format dxfId="731">
      <pivotArea field="11" type="button" dataOnly="0" labelOnly="1" outline="0" axis="axisRow" fieldPosition="0"/>
    </format>
    <format dxfId="730">
      <pivotArea dataOnly="0" labelOnly="1" outline="0" fieldPosition="0">
        <references count="1">
          <reference field="4294967294" count="1">
            <x v="0"/>
          </reference>
        </references>
      </pivotArea>
    </format>
    <format dxfId="729">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3BFDCD-1122-4526-88B2-77520928D1C1}" name="Tableau croisé dynamique8" cacheId="1" applyNumberFormats="0" applyBorderFormats="0" applyFontFormats="0" applyPatternFormats="0" applyAlignmentFormats="0" applyWidthHeightFormats="1" dataCaption="Valeurs" updatedVersion="8" minRefreshableVersion="3" useAutoFormatting="1" itemPrintTitles="1" createdVersion="8" indent="0" multipleFieldFilters="0" chartFormat="7">
  <location ref="B19:C23" firstHeaderRow="1" firstDataRow="1" firstDataCol="1"/>
  <pivotFields count="13">
    <pivotField showAll="0"/>
    <pivotField axis="axisRow" showAll="0">
      <items count="4">
        <item x="0"/>
        <item x="2"/>
        <item x="1"/>
        <item t="default"/>
      </items>
    </pivotField>
    <pivotField numFmtId="165" showAll="0"/>
    <pivotField numFmtId="14" showAll="0"/>
    <pivotField numFmtId="164" showAll="0"/>
    <pivotField showAll="0"/>
    <pivotField showAll="0"/>
    <pivotField numFmtId="10" showAll="0"/>
    <pivotField dataField="1" numFmtId="164" showAll="0"/>
    <pivotField numFmtId="9" showAll="0"/>
    <pivotField showAll="0">
      <items count="6">
        <item x="0"/>
        <item x="1"/>
        <item x="4"/>
        <item x="3"/>
        <item x="2"/>
        <item t="default"/>
      </items>
    </pivotField>
    <pivotField showAll="0">
      <items count="3">
        <item x="1"/>
        <item x="0"/>
        <item t="default"/>
      </items>
    </pivotField>
    <pivotField showAll="0">
      <items count="6">
        <item x="0"/>
        <item x="3"/>
        <item x="2"/>
        <item x="4"/>
        <item x="1"/>
        <item t="default"/>
      </items>
    </pivotField>
  </pivotFields>
  <rowFields count="1">
    <field x="1"/>
  </rowFields>
  <rowItems count="4">
    <i>
      <x/>
    </i>
    <i>
      <x v="1"/>
    </i>
    <i>
      <x v="2"/>
    </i>
    <i t="grand">
      <x/>
    </i>
  </rowItems>
  <colItems count="1">
    <i/>
  </colItems>
  <dataFields count="1">
    <dataField name="Somme de Ventes Générées (€)" fld="8" baseField="0" baseItem="0" numFmtId="164"/>
  </dataFields>
  <formats count="2">
    <format dxfId="718">
      <pivotArea collapsedLevelsAreSubtotals="1" fieldPosition="0">
        <references count="1">
          <reference field="1" count="0"/>
        </references>
      </pivotArea>
    </format>
    <format dxfId="719">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0929C4-989A-41DD-8861-2F5DEA4BC30B}" name="Tableau croisé dynamique6" cacheId="1" applyNumberFormats="0" applyBorderFormats="0" applyFontFormats="0" applyPatternFormats="0" applyAlignmentFormats="0" applyWidthHeightFormats="1" dataCaption="Valeurs" updatedVersion="8" minRefreshableVersion="3" useAutoFormatting="1" itemPrintTitles="1" createdVersion="8" indent="0" multipleFieldFilters="0">
  <location ref="B11:B12" firstHeaderRow="1" firstDataRow="1" firstDataCol="0"/>
  <pivotFields count="13">
    <pivotField showAll="0"/>
    <pivotField showAll="0">
      <items count="4">
        <item x="0"/>
        <item x="2"/>
        <item x="1"/>
        <item t="default"/>
      </items>
    </pivotField>
    <pivotField numFmtId="165" showAll="0"/>
    <pivotField numFmtId="14" showAll="0"/>
    <pivotField numFmtId="164" showAll="0"/>
    <pivotField showAll="0"/>
    <pivotField showAll="0"/>
    <pivotField dataField="1" numFmtId="10" showAll="0"/>
    <pivotField numFmtId="164" showAll="0"/>
    <pivotField numFmtId="9" showAll="0"/>
    <pivotField showAll="0">
      <items count="6">
        <item x="0"/>
        <item x="1"/>
        <item x="4"/>
        <item x="3"/>
        <item x="2"/>
        <item t="default"/>
      </items>
    </pivotField>
    <pivotField showAll="0">
      <items count="3">
        <item x="1"/>
        <item x="0"/>
        <item t="default"/>
      </items>
    </pivotField>
    <pivotField showAll="0">
      <items count="6">
        <item x="0"/>
        <item x="3"/>
        <item x="2"/>
        <item x="4"/>
        <item x="1"/>
        <item t="default"/>
      </items>
    </pivotField>
  </pivotFields>
  <rowItems count="1">
    <i/>
  </rowItems>
  <colItems count="1">
    <i/>
  </colItems>
  <dataFields count="1">
    <dataField name="Moyenne de Taux de Conversion (%)" fld="7"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345DDB-B976-412C-80D8-AABEF769E68E}" name="Tableau croisé dynamique2" cacheId="1" applyNumberFormats="0" applyBorderFormats="0" applyFontFormats="0" applyPatternFormats="0" applyAlignmentFormats="0" applyWidthHeightFormats="1" dataCaption="Valeurs" updatedVersion="8" minRefreshableVersion="3" useAutoFormatting="1" itemPrintTitles="1" createdVersion="8" indent="0" multipleFieldFilters="0" chartFormat="23" rowHeaderCaption="Sexe et Tranche d'âge">
  <location ref="B67:C70" firstHeaderRow="1" firstDataRow="1" firstDataCol="1"/>
  <pivotFields count="13">
    <pivotField showAll="0" sumSubtotal="1">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t="sum"/>
      </items>
    </pivotField>
    <pivotField showAll="0">
      <items count="4">
        <item x="0"/>
        <item x="2"/>
        <item x="1"/>
        <item t="default"/>
      </items>
    </pivotField>
    <pivotField numFmtId="165" showAll="0"/>
    <pivotField numFmtId="14" showAll="0"/>
    <pivotField numFmtId="164" showAll="0"/>
    <pivotField showAll="0">
      <items count="106">
        <item x="48"/>
        <item x="61"/>
        <item x="40"/>
        <item x="49"/>
        <item x="11"/>
        <item x="28"/>
        <item x="73"/>
        <item x="21"/>
        <item x="98"/>
        <item x="12"/>
        <item x="91"/>
        <item x="10"/>
        <item x="81"/>
        <item x="6"/>
        <item x="68"/>
        <item x="78"/>
        <item x="37"/>
        <item x="50"/>
        <item x="38"/>
        <item x="56"/>
        <item x="89"/>
        <item x="14"/>
        <item x="92"/>
        <item x="31"/>
        <item x="103"/>
        <item x="84"/>
        <item x="96"/>
        <item x="32"/>
        <item x="100"/>
        <item x="30"/>
        <item x="46"/>
        <item x="104"/>
        <item x="86"/>
        <item x="43"/>
        <item x="59"/>
        <item x="101"/>
        <item x="23"/>
        <item x="72"/>
        <item x="19"/>
        <item x="39"/>
        <item x="57"/>
        <item x="47"/>
        <item x="52"/>
        <item x="15"/>
        <item x="34"/>
        <item x="69"/>
        <item x="2"/>
        <item x="76"/>
        <item x="65"/>
        <item x="18"/>
        <item x="67"/>
        <item x="80"/>
        <item x="87"/>
        <item x="54"/>
        <item x="93"/>
        <item x="82"/>
        <item x="0"/>
        <item x="74"/>
        <item x="24"/>
        <item x="66"/>
        <item x="7"/>
        <item x="63"/>
        <item x="95"/>
        <item x="4"/>
        <item x="22"/>
        <item x="36"/>
        <item x="3"/>
        <item x="25"/>
        <item x="44"/>
        <item x="64"/>
        <item x="94"/>
        <item x="42"/>
        <item x="88"/>
        <item x="77"/>
        <item x="79"/>
        <item x="13"/>
        <item x="55"/>
        <item x="33"/>
        <item x="41"/>
        <item x="75"/>
        <item x="99"/>
        <item x="62"/>
        <item x="16"/>
        <item x="58"/>
        <item x="85"/>
        <item x="60"/>
        <item x="1"/>
        <item x="97"/>
        <item x="20"/>
        <item x="102"/>
        <item x="45"/>
        <item x="83"/>
        <item x="71"/>
        <item x="27"/>
        <item x="51"/>
        <item x="9"/>
        <item x="53"/>
        <item x="29"/>
        <item x="8"/>
        <item x="70"/>
        <item x="26"/>
        <item x="17"/>
        <item x="5"/>
        <item x="90"/>
        <item x="35"/>
        <item t="default"/>
      </items>
    </pivotField>
    <pivotField showAll="0"/>
    <pivotField dataField="1" numFmtId="10" showAll="0"/>
    <pivotField numFmtId="164" showAll="0"/>
    <pivotField numFmtId="9" showAll="0"/>
    <pivotField showAll="0">
      <items count="6">
        <item x="0"/>
        <item x="1"/>
        <item x="4"/>
        <item x="3"/>
        <item x="2"/>
        <item t="default"/>
      </items>
    </pivotField>
    <pivotField axis="axisRow" showAll="0">
      <items count="3">
        <item x="1"/>
        <item x="0"/>
        <item t="default"/>
      </items>
    </pivotField>
    <pivotField showAll="0">
      <items count="6">
        <item x="0"/>
        <item x="3"/>
        <item x="2"/>
        <item x="4"/>
        <item x="1"/>
        <item t="default"/>
      </items>
    </pivotField>
  </pivotFields>
  <rowFields count="1">
    <field x="11"/>
  </rowFields>
  <rowItems count="3">
    <i>
      <x/>
    </i>
    <i>
      <x v="1"/>
    </i>
    <i t="grand">
      <x/>
    </i>
  </rowItems>
  <colItems count="1">
    <i/>
  </colItems>
  <dataFields count="1">
    <dataField name="Moyenne de Taux de Conversion (%)" fld="7" subtotal="average" baseField="10" baseItem="0" numFmtId="10"/>
  </dataFields>
  <formats count="11">
    <format dxfId="662">
      <pivotArea outline="0" collapsedLevelsAreSubtotals="1" fieldPosition="0"/>
    </format>
    <format dxfId="663">
      <pivotArea field="11" type="button" dataOnly="0" labelOnly="1" outline="0" axis="axisRow" fieldPosition="0"/>
    </format>
    <format dxfId="664">
      <pivotArea field="11" type="button" dataOnly="0" labelOnly="1" outline="0" axis="axisRow" fieldPosition="0"/>
    </format>
    <format dxfId="665">
      <pivotArea field="11" type="button" dataOnly="0" labelOnly="1" outline="0" axis="axisRow" fieldPosition="0"/>
    </format>
    <format dxfId="666">
      <pivotArea field="11" type="button" dataOnly="0" labelOnly="1" outline="0" axis="axisRow" fieldPosition="0"/>
    </format>
    <format dxfId="667">
      <pivotArea field="11" type="button" dataOnly="0" labelOnly="1" outline="0" axis="axisRow" fieldPosition="0"/>
    </format>
    <format dxfId="668">
      <pivotArea outline="0" collapsedLevelsAreSubtotals="1" fieldPosition="0"/>
    </format>
    <format dxfId="669">
      <pivotArea dataOnly="0" labelOnly="1" grandRow="1" outline="0" fieldPosition="0"/>
    </format>
    <format dxfId="670">
      <pivotArea dataOnly="0" labelOnly="1" grandRow="1" outline="0" fieldPosition="0"/>
    </format>
    <format dxfId="671">
      <pivotArea field="11" type="button" dataOnly="0" labelOnly="1" outline="0" axis="axisRow" fieldPosition="0"/>
    </format>
    <format dxfId="672">
      <pivotArea dataOnly="0" labelOnly="1" outline="0" axis="axisValues" fieldPosition="0"/>
    </format>
  </formats>
  <chartFormats count="8">
    <chartFormat chart="9" format="6"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1" count="1" selected="0">
            <x v="0"/>
          </reference>
        </references>
      </pivotArea>
    </chartFormat>
    <chartFormat chart="15" format="6">
      <pivotArea type="data" outline="0" fieldPosition="0">
        <references count="2">
          <reference field="4294967294" count="1" selected="0">
            <x v="0"/>
          </reference>
          <reference field="11" count="1" selected="0">
            <x v="1"/>
          </reference>
        </references>
      </pivotArea>
    </chartFormat>
    <chartFormat chart="13" format="1">
      <pivotArea type="data" outline="0" fieldPosition="0">
        <references count="2">
          <reference field="4294967294" count="1" selected="0">
            <x v="0"/>
          </reference>
          <reference field="11" count="1" selected="0">
            <x v="0"/>
          </reference>
        </references>
      </pivotArea>
    </chartFormat>
    <chartFormat chart="13" format="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0BCF98-5449-445B-A0AF-5043FC4D3070}" name="Tableau croisé dynamique10" cacheId="1" applyNumberFormats="0" applyBorderFormats="0" applyFontFormats="0" applyPatternFormats="0" applyAlignmentFormats="0" applyWidthHeightFormats="1" dataCaption="Valeurs" updatedVersion="8" minRefreshableVersion="3" useAutoFormatting="1" itemPrintTitles="1" createdVersion="8" indent="0" multipleFieldFilters="0" chartFormat="21" rowHeaderCaption="Sexe et Tranche d'âge">
  <location ref="B43:C46" firstHeaderRow="1" firstDataRow="1" firstDataCol="1"/>
  <pivotFields count="13">
    <pivotField showAll="0" sumSubtotal="1">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t="sum"/>
      </items>
    </pivotField>
    <pivotField showAll="0">
      <items count="4">
        <item x="0"/>
        <item x="2"/>
        <item x="1"/>
        <item t="default"/>
      </items>
    </pivotField>
    <pivotField numFmtId="165" showAll="0"/>
    <pivotField numFmtId="14" showAll="0"/>
    <pivotField numFmtId="164" showAll="0"/>
    <pivotField showAll="0">
      <items count="106">
        <item x="48"/>
        <item x="61"/>
        <item x="40"/>
        <item x="49"/>
        <item x="11"/>
        <item x="28"/>
        <item x="73"/>
        <item x="21"/>
        <item x="98"/>
        <item x="12"/>
        <item x="91"/>
        <item x="10"/>
        <item x="81"/>
        <item x="6"/>
        <item x="68"/>
        <item x="78"/>
        <item x="37"/>
        <item x="50"/>
        <item x="38"/>
        <item x="56"/>
        <item x="89"/>
        <item x="14"/>
        <item x="92"/>
        <item x="31"/>
        <item x="103"/>
        <item x="84"/>
        <item x="96"/>
        <item x="32"/>
        <item x="100"/>
        <item x="30"/>
        <item x="46"/>
        <item x="104"/>
        <item x="86"/>
        <item x="43"/>
        <item x="59"/>
        <item x="101"/>
        <item x="23"/>
        <item x="72"/>
        <item x="19"/>
        <item x="39"/>
        <item x="57"/>
        <item x="47"/>
        <item x="52"/>
        <item x="15"/>
        <item x="34"/>
        <item x="69"/>
        <item x="2"/>
        <item x="76"/>
        <item x="65"/>
        <item x="18"/>
        <item x="67"/>
        <item x="80"/>
        <item x="87"/>
        <item x="54"/>
        <item x="93"/>
        <item x="82"/>
        <item x="0"/>
        <item x="74"/>
        <item x="24"/>
        <item x="66"/>
        <item x="7"/>
        <item x="63"/>
        <item x="95"/>
        <item x="4"/>
        <item x="22"/>
        <item x="36"/>
        <item x="3"/>
        <item x="25"/>
        <item x="44"/>
        <item x="64"/>
        <item x="94"/>
        <item x="42"/>
        <item x="88"/>
        <item x="77"/>
        <item x="79"/>
        <item x="13"/>
        <item x="55"/>
        <item x="33"/>
        <item x="41"/>
        <item x="75"/>
        <item x="99"/>
        <item x="62"/>
        <item x="16"/>
        <item x="58"/>
        <item x="85"/>
        <item x="60"/>
        <item x="1"/>
        <item x="97"/>
        <item x="20"/>
        <item x="102"/>
        <item x="45"/>
        <item x="83"/>
        <item x="71"/>
        <item x="27"/>
        <item x="51"/>
        <item x="9"/>
        <item x="53"/>
        <item x="29"/>
        <item x="8"/>
        <item x="70"/>
        <item x="26"/>
        <item x="17"/>
        <item x="5"/>
        <item x="90"/>
        <item x="35"/>
        <item t="default"/>
      </items>
    </pivotField>
    <pivotField showAll="0"/>
    <pivotField numFmtId="10" showAll="0"/>
    <pivotField dataField="1" numFmtId="164" showAll="0"/>
    <pivotField numFmtId="9" showAll="0"/>
    <pivotField showAll="0">
      <items count="6">
        <item x="0"/>
        <item x="1"/>
        <item x="4"/>
        <item x="3"/>
        <item x="2"/>
        <item t="default"/>
      </items>
    </pivotField>
    <pivotField axis="axisRow" showAll="0">
      <items count="3">
        <item x="1"/>
        <item x="0"/>
        <item t="default"/>
      </items>
    </pivotField>
    <pivotField showAll="0">
      <items count="6">
        <item x="0"/>
        <item x="3"/>
        <item x="2"/>
        <item x="4"/>
        <item x="1"/>
        <item t="default"/>
      </items>
    </pivotField>
  </pivotFields>
  <rowFields count="1">
    <field x="11"/>
  </rowFields>
  <rowItems count="3">
    <i>
      <x/>
    </i>
    <i>
      <x v="1"/>
    </i>
    <i t="grand">
      <x/>
    </i>
  </rowItems>
  <colItems count="1">
    <i/>
  </colItems>
  <dataFields count="1">
    <dataField name="Total des Ventes Générées (€)" fld="8" baseField="0" baseItem="0" numFmtId="164"/>
  </dataFields>
  <formats count="18">
    <format dxfId="684">
      <pivotArea dataOnly="0" labelOnly="1" outline="0" fieldPosition="0">
        <references count="1">
          <reference field="4294967294" count="1">
            <x v="0"/>
          </reference>
        </references>
      </pivotArea>
    </format>
    <format dxfId="685">
      <pivotArea dataOnly="0" labelOnly="1" outline="0" fieldPosition="0">
        <references count="1">
          <reference field="4294967294" count="1">
            <x v="0"/>
          </reference>
        </references>
      </pivotArea>
    </format>
    <format dxfId="686">
      <pivotArea dataOnly="0" labelOnly="1" outline="0" fieldPosition="0">
        <references count="1">
          <reference field="4294967294" count="1">
            <x v="0"/>
          </reference>
        </references>
      </pivotArea>
    </format>
    <format dxfId="687">
      <pivotArea outline="0" collapsedLevelsAreSubtotals="1" fieldPosition="0"/>
    </format>
    <format dxfId="688">
      <pivotArea field="11" type="button" dataOnly="0" labelOnly="1" outline="0" axis="axisRow" fieldPosition="0"/>
    </format>
    <format dxfId="689">
      <pivotArea field="11" type="button" dataOnly="0" labelOnly="1" outline="0" axis="axisRow" fieldPosition="0"/>
    </format>
    <format dxfId="690">
      <pivotArea field="11" type="button" dataOnly="0" labelOnly="1" outline="0" axis="axisRow" fieldPosition="0"/>
    </format>
    <format dxfId="691">
      <pivotArea field="11" type="button" dataOnly="0" labelOnly="1" outline="0" axis="axisRow" fieldPosition="0"/>
    </format>
    <format dxfId="692">
      <pivotArea dataOnly="0" labelOnly="1" outline="0" fieldPosition="0">
        <references count="1">
          <reference field="4294967294" count="1">
            <x v="0"/>
          </reference>
        </references>
      </pivotArea>
    </format>
    <format dxfId="693">
      <pivotArea field="11" type="button" dataOnly="0" labelOnly="1" outline="0" axis="axisRow" fieldPosition="0"/>
    </format>
    <format dxfId="694">
      <pivotArea dataOnly="0" labelOnly="1" outline="0" fieldPosition="0">
        <references count="1">
          <reference field="4294967294" count="1">
            <x v="0"/>
          </reference>
        </references>
      </pivotArea>
    </format>
    <format dxfId="695">
      <pivotArea outline="0" collapsedLevelsAreSubtotals="1" fieldPosition="0"/>
    </format>
    <format dxfId="696">
      <pivotArea dataOnly="0" labelOnly="1" fieldPosition="0">
        <references count="1">
          <reference field="11" count="0"/>
        </references>
      </pivotArea>
    </format>
    <format dxfId="697">
      <pivotArea dataOnly="0" labelOnly="1" grandRow="1" outline="0" fieldPosition="0"/>
    </format>
    <format dxfId="698">
      <pivotArea dataOnly="0" labelOnly="1" fieldPosition="0">
        <references count="1">
          <reference field="11" count="0"/>
        </references>
      </pivotArea>
    </format>
    <format dxfId="699">
      <pivotArea dataOnly="0" labelOnly="1" grandRow="1" outline="0" fieldPosition="0"/>
    </format>
    <format dxfId="700">
      <pivotArea field="11" type="button" dataOnly="0" labelOnly="1" outline="0" axis="axisRow" fieldPosition="0"/>
    </format>
    <format dxfId="701">
      <pivotArea dataOnly="0" labelOnly="1" outline="0" axis="axisValues" fieldPosition="0"/>
    </format>
  </formats>
  <chartFormats count="8">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4" format="4" series="1">
      <pivotArea type="data" outline="0" fieldPosition="0">
        <references count="2">
          <reference field="4294967294" count="1" selected="0">
            <x v="0"/>
          </reference>
          <reference field="11" count="1" selected="0">
            <x v="0"/>
          </reference>
        </references>
      </pivotArea>
    </chartFormat>
    <chartFormat chart="4" format="5" series="1">
      <pivotArea type="data" outline="0" fieldPosition="0">
        <references count="2">
          <reference field="4294967294" count="1" selected="0">
            <x v="0"/>
          </reference>
          <reference field="11" count="1" selected="0">
            <x v="1"/>
          </reference>
        </references>
      </pivotArea>
    </chartFormat>
    <chartFormat chart="4" format="14" series="1">
      <pivotArea type="data" outline="0" fieldPosition="0">
        <references count="1">
          <reference field="4294967294" count="1" selected="0">
            <x v="0"/>
          </reference>
        </references>
      </pivotArea>
    </chartFormat>
    <chartFormat chart="0" format="10"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11" count="1" selected="0">
            <x v="1"/>
          </reference>
        </references>
      </pivotArea>
    </chartFormat>
    <chartFormat chart="4" format="16">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D3DA79-C898-4AB8-8BB0-4414124299CE}" name="Tableau croisé dynamique5" cacheId="1" applyNumberFormats="0" applyBorderFormats="0" applyFontFormats="0" applyPatternFormats="0" applyAlignmentFormats="0" applyWidthHeightFormats="1" dataCaption="Valeurs" updatedVersion="8" minRefreshableVersion="3" useAutoFormatting="1" itemPrintTitles="1" createdVersion="8" indent="0" multipleFieldFilters="0">
  <location ref="B7:B8" firstHeaderRow="1" firstDataRow="1" firstDataCol="0"/>
  <pivotFields count="13">
    <pivotField showAll="0"/>
    <pivotField showAll="0">
      <items count="4">
        <item x="0"/>
        <item x="2"/>
        <item x="1"/>
        <item t="default"/>
      </items>
    </pivotField>
    <pivotField numFmtId="165" showAll="0"/>
    <pivotField numFmtId="14" showAll="0"/>
    <pivotField dataField="1" numFmtId="164" showAll="0"/>
    <pivotField showAll="0"/>
    <pivotField showAll="0"/>
    <pivotField numFmtId="10" showAll="0"/>
    <pivotField numFmtId="164" showAll="0"/>
    <pivotField numFmtId="9" showAll="0"/>
    <pivotField showAll="0">
      <items count="6">
        <item x="0"/>
        <item x="1"/>
        <item x="4"/>
        <item x="3"/>
        <item x="2"/>
        <item t="default"/>
      </items>
    </pivotField>
    <pivotField showAll="0">
      <items count="3">
        <item x="1"/>
        <item x="0"/>
        <item t="default"/>
      </items>
    </pivotField>
    <pivotField showAll="0">
      <items count="6">
        <item x="0"/>
        <item x="3"/>
        <item x="2"/>
        <item x="4"/>
        <item x="1"/>
        <item t="default"/>
      </items>
    </pivotField>
  </pivotFields>
  <rowItems count="1">
    <i/>
  </rowItems>
  <colItems count="1">
    <i/>
  </colItems>
  <dataFields count="1">
    <dataField name="Somme de Budget de la Campagne (€)"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69D782-AD02-4AB2-AF36-97DDE6919AF5}" name="Tableau croisé dynamique1" cacheId="1" applyNumberFormats="0" applyBorderFormats="0" applyFontFormats="0" applyPatternFormats="0" applyAlignmentFormats="0" applyWidthHeightFormats="1" dataCaption="Valeurs" updatedVersion="8" minRefreshableVersion="3" useAutoFormatting="1" itemPrintTitles="1" createdVersion="8" indent="0" multipleFieldFilters="0" chartFormat="21" rowHeaderCaption="Sexe et Tranche d'âge">
  <location ref="B49:C55" firstHeaderRow="1" firstDataRow="1" firstDataCol="1"/>
  <pivotFields count="13">
    <pivotField showAll="0" sumSubtotal="1">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t="sum"/>
      </items>
    </pivotField>
    <pivotField showAll="0">
      <items count="4">
        <item x="0"/>
        <item x="2"/>
        <item x="1"/>
        <item t="default"/>
      </items>
    </pivotField>
    <pivotField numFmtId="165" showAll="0"/>
    <pivotField numFmtId="14" showAll="0"/>
    <pivotField numFmtId="164" showAll="0"/>
    <pivotField showAll="0">
      <items count="106">
        <item x="48"/>
        <item x="61"/>
        <item x="40"/>
        <item x="49"/>
        <item x="11"/>
        <item x="28"/>
        <item x="73"/>
        <item x="21"/>
        <item x="98"/>
        <item x="12"/>
        <item x="91"/>
        <item x="10"/>
        <item x="81"/>
        <item x="6"/>
        <item x="68"/>
        <item x="78"/>
        <item x="37"/>
        <item x="50"/>
        <item x="38"/>
        <item x="56"/>
        <item x="89"/>
        <item x="14"/>
        <item x="92"/>
        <item x="31"/>
        <item x="103"/>
        <item x="84"/>
        <item x="96"/>
        <item x="32"/>
        <item x="100"/>
        <item x="30"/>
        <item x="46"/>
        <item x="104"/>
        <item x="86"/>
        <item x="43"/>
        <item x="59"/>
        <item x="101"/>
        <item x="23"/>
        <item x="72"/>
        <item x="19"/>
        <item x="39"/>
        <item x="57"/>
        <item x="47"/>
        <item x="52"/>
        <item x="15"/>
        <item x="34"/>
        <item x="69"/>
        <item x="2"/>
        <item x="76"/>
        <item x="65"/>
        <item x="18"/>
        <item x="67"/>
        <item x="80"/>
        <item x="87"/>
        <item x="54"/>
        <item x="93"/>
        <item x="82"/>
        <item x="0"/>
        <item x="74"/>
        <item x="24"/>
        <item x="66"/>
        <item x="7"/>
        <item x="63"/>
        <item x="95"/>
        <item x="4"/>
        <item x="22"/>
        <item x="36"/>
        <item x="3"/>
        <item x="25"/>
        <item x="44"/>
        <item x="64"/>
        <item x="94"/>
        <item x="42"/>
        <item x="88"/>
        <item x="77"/>
        <item x="79"/>
        <item x="13"/>
        <item x="55"/>
        <item x="33"/>
        <item x="41"/>
        <item x="75"/>
        <item x="99"/>
        <item x="62"/>
        <item x="16"/>
        <item x="58"/>
        <item x="85"/>
        <item x="60"/>
        <item x="1"/>
        <item x="97"/>
        <item x="20"/>
        <item x="102"/>
        <item x="45"/>
        <item x="83"/>
        <item x="71"/>
        <item x="27"/>
        <item x="51"/>
        <item x="9"/>
        <item x="53"/>
        <item x="29"/>
        <item x="8"/>
        <item x="70"/>
        <item x="26"/>
        <item x="17"/>
        <item x="5"/>
        <item x="90"/>
        <item x="35"/>
        <item t="default"/>
      </items>
    </pivotField>
    <pivotField showAll="0"/>
    <pivotField numFmtId="10" showAll="0"/>
    <pivotField dataField="1" numFmtId="164" showAll="0"/>
    <pivotField numFmtId="9" showAll="0"/>
    <pivotField axis="axisRow" showAll="0">
      <items count="6">
        <item x="0"/>
        <item x="1"/>
        <item x="4"/>
        <item x="3"/>
        <item x="2"/>
        <item t="default"/>
      </items>
    </pivotField>
    <pivotField showAll="0">
      <items count="3">
        <item x="1"/>
        <item x="0"/>
        <item t="default"/>
      </items>
    </pivotField>
    <pivotField showAll="0">
      <items count="6">
        <item x="0"/>
        <item x="3"/>
        <item x="2"/>
        <item x="4"/>
        <item x="1"/>
        <item t="default"/>
      </items>
    </pivotField>
  </pivotFields>
  <rowFields count="1">
    <field x="10"/>
  </rowFields>
  <rowItems count="6">
    <i>
      <x/>
    </i>
    <i>
      <x v="1"/>
    </i>
    <i>
      <x v="2"/>
    </i>
    <i>
      <x v="3"/>
    </i>
    <i>
      <x v="4"/>
    </i>
    <i t="grand">
      <x/>
    </i>
  </rowItems>
  <colItems count="1">
    <i/>
  </colItems>
  <dataFields count="1">
    <dataField name="Total des Ventes Générées (€)" fld="8" baseField="0" baseItem="0" numFmtId="164"/>
  </dataFields>
  <formats count="16">
    <format dxfId="702">
      <pivotArea dataOnly="0" labelOnly="1" outline="0" fieldPosition="0">
        <references count="1">
          <reference field="4294967294" count="1">
            <x v="0"/>
          </reference>
        </references>
      </pivotArea>
    </format>
    <format dxfId="703">
      <pivotArea dataOnly="0" labelOnly="1" outline="0" fieldPosition="0">
        <references count="1">
          <reference field="4294967294" count="1">
            <x v="0"/>
          </reference>
        </references>
      </pivotArea>
    </format>
    <format dxfId="704">
      <pivotArea dataOnly="0" labelOnly="1" outline="0" fieldPosition="0">
        <references count="1">
          <reference field="4294967294" count="1">
            <x v="0"/>
          </reference>
        </references>
      </pivotArea>
    </format>
    <format dxfId="705">
      <pivotArea outline="0" collapsedLevelsAreSubtotals="1" fieldPosition="0"/>
    </format>
    <format dxfId="706">
      <pivotArea field="11" type="button" dataOnly="0" labelOnly="1" outline="0"/>
    </format>
    <format dxfId="707">
      <pivotArea field="11" type="button" dataOnly="0" labelOnly="1" outline="0"/>
    </format>
    <format dxfId="708">
      <pivotArea field="11" type="button" dataOnly="0" labelOnly="1" outline="0"/>
    </format>
    <format dxfId="709">
      <pivotArea field="11" type="button" dataOnly="0" labelOnly="1" outline="0"/>
    </format>
    <format dxfId="710">
      <pivotArea dataOnly="0" labelOnly="1" outline="0" fieldPosition="0">
        <references count="1">
          <reference field="4294967294" count="1">
            <x v="0"/>
          </reference>
        </references>
      </pivotArea>
    </format>
    <format dxfId="711">
      <pivotArea field="11" type="button" dataOnly="0" labelOnly="1" outline="0"/>
    </format>
    <format dxfId="712">
      <pivotArea dataOnly="0" labelOnly="1" outline="0" fieldPosition="0">
        <references count="1">
          <reference field="4294967294" count="1">
            <x v="0"/>
          </reference>
        </references>
      </pivotArea>
    </format>
    <format dxfId="713">
      <pivotArea outline="0" collapsedLevelsAreSubtotals="1" fieldPosition="0"/>
    </format>
    <format dxfId="714">
      <pivotArea dataOnly="0" labelOnly="1" grandRow="1" outline="0" fieldPosition="0"/>
    </format>
    <format dxfId="715">
      <pivotArea dataOnly="0" labelOnly="1" grandRow="1" outline="0" fieldPosition="0"/>
    </format>
    <format dxfId="716">
      <pivotArea field="11" type="button" dataOnly="0" labelOnly="1" outline="0"/>
    </format>
    <format dxfId="717">
      <pivotArea dataOnly="0" labelOnly="1" outline="0" axis="axisValues" fieldPosition="0"/>
    </format>
  </formats>
  <chartFormats count="4">
    <chartFormat chart="4" format="14" series="1">
      <pivotArea type="data" outline="0" fieldPosition="0">
        <references count="1">
          <reference field="4294967294" count="1" selected="0">
            <x v="0"/>
          </reference>
        </references>
      </pivotArea>
    </chartFormat>
    <chartFormat chart="0" format="1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8C4976-35B2-4D7D-8874-D36CD7AF1F4D}" name="Tableau croisé dynamique4" cacheId="1" applyNumberFormats="0" applyBorderFormats="0" applyFontFormats="0" applyPatternFormats="0" applyAlignmentFormats="0" applyWidthHeightFormats="1" dataCaption="Valeurs" updatedVersion="8" minRefreshableVersion="3" useAutoFormatting="1" itemPrintTitles="1" createdVersion="8" indent="0" multipleFieldFilters="0">
  <location ref="B3:B4" firstHeaderRow="1" firstDataRow="1" firstDataCol="0"/>
  <pivotFields count="13">
    <pivotField dataField="1" showAll="0"/>
    <pivotField showAll="0">
      <items count="4">
        <item x="0"/>
        <item x="2"/>
        <item x="1"/>
        <item t="default"/>
      </items>
    </pivotField>
    <pivotField numFmtId="165" showAll="0"/>
    <pivotField numFmtId="14" showAll="0"/>
    <pivotField numFmtId="164" showAll="0"/>
    <pivotField showAll="0"/>
    <pivotField showAll="0"/>
    <pivotField numFmtId="10" showAll="0"/>
    <pivotField numFmtId="164" showAll="0"/>
    <pivotField numFmtId="9" showAll="0"/>
    <pivotField showAll="0">
      <items count="6">
        <item x="0"/>
        <item x="1"/>
        <item x="4"/>
        <item x="3"/>
        <item x="2"/>
        <item t="default"/>
      </items>
    </pivotField>
    <pivotField showAll="0">
      <items count="3">
        <item x="1"/>
        <item x="0"/>
        <item t="default"/>
      </items>
    </pivotField>
    <pivotField showAll="0">
      <items count="6">
        <item x="0"/>
        <item x="3"/>
        <item x="2"/>
        <item x="4"/>
        <item x="1"/>
        <item t="default"/>
      </items>
    </pivotField>
  </pivotFields>
  <rowItems count="1">
    <i/>
  </rowItems>
  <colItems count="1">
    <i/>
  </colItems>
  <dataFields count="1">
    <dataField name="Nombre de ID Campagn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BCF432-5565-47C8-8D56-6BF4246E87FE}" name="Tableau croisé dynamique7" cacheId="1" applyNumberFormats="0" applyBorderFormats="0" applyFontFormats="0" applyPatternFormats="0" applyAlignmentFormats="0" applyWidthHeightFormats="1" dataCaption="Valeurs" updatedVersion="8" minRefreshableVersion="3" useAutoFormatting="1" itemPrintTitles="1" createdVersion="8" indent="0" multipleFieldFilters="0" chartFormat="1">
  <location ref="B15:B16" firstHeaderRow="1" firstDataRow="1" firstDataCol="0"/>
  <pivotFields count="13">
    <pivotField showAll="0"/>
    <pivotField showAll="0">
      <items count="4">
        <item x="0"/>
        <item x="2"/>
        <item x="1"/>
        <item t="default"/>
      </items>
    </pivotField>
    <pivotField numFmtId="165" showAll="0"/>
    <pivotField numFmtId="14" showAll="0"/>
    <pivotField numFmtId="164" showAll="0"/>
    <pivotField showAll="0"/>
    <pivotField showAll="0"/>
    <pivotField numFmtId="10" showAll="0"/>
    <pivotField numFmtId="164" showAll="0"/>
    <pivotField dataField="1" numFmtId="9" showAll="0"/>
    <pivotField showAll="0">
      <items count="6">
        <item x="0"/>
        <item x="1"/>
        <item x="4"/>
        <item x="3"/>
        <item x="2"/>
        <item t="default"/>
      </items>
    </pivotField>
    <pivotField showAll="0">
      <items count="3">
        <item x="1"/>
        <item x="0"/>
        <item t="default"/>
      </items>
    </pivotField>
    <pivotField showAll="0">
      <items count="6">
        <item x="0"/>
        <item x="3"/>
        <item x="2"/>
        <item x="4"/>
        <item x="1"/>
        <item t="default"/>
      </items>
    </pivotField>
  </pivotFields>
  <rowItems count="1">
    <i/>
  </rowItems>
  <colItems count="1">
    <i/>
  </colItems>
  <dataFields count="1">
    <dataField name="Moyenne de ROI (%)" fld="9" subtotal="average" baseField="0" baseItem="0" numFmtId="10"/>
  </dataFields>
  <formats count="1">
    <format dxfId="6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5EDCBC4-C501-427D-8468-508047760CDA}" name="Tableau croisé dynamique9" cacheId="1" applyNumberFormats="0" applyBorderFormats="0" applyFontFormats="0" applyPatternFormats="0" applyAlignmentFormats="0" applyWidthHeightFormats="1" dataCaption="Valeurs" updatedVersion="8" minRefreshableVersion="3" useAutoFormatting="1" itemPrintTitles="1" createdVersion="8" indent="0" multipleFieldFilters="0" chartFormat="14">
  <location ref="G19:H23" firstHeaderRow="1" firstDataRow="1" firstDataCol="1"/>
  <pivotFields count="13">
    <pivotField showAll="0"/>
    <pivotField axis="axisRow" showAll="0">
      <items count="4">
        <item x="0"/>
        <item x="2"/>
        <item x="1"/>
        <item t="default"/>
      </items>
    </pivotField>
    <pivotField numFmtId="165" showAll="0"/>
    <pivotField numFmtId="14" showAll="0"/>
    <pivotField numFmtId="164" showAll="0"/>
    <pivotField showAll="0"/>
    <pivotField showAll="0"/>
    <pivotField numFmtId="10" showAll="0"/>
    <pivotField numFmtId="164" showAll="0"/>
    <pivotField dataField="1" numFmtId="9" showAll="0"/>
    <pivotField showAll="0">
      <items count="6">
        <item x="0"/>
        <item x="1"/>
        <item x="4"/>
        <item x="3"/>
        <item x="2"/>
        <item t="default"/>
      </items>
    </pivotField>
    <pivotField showAll="0">
      <items count="3">
        <item x="1"/>
        <item x="0"/>
        <item t="default"/>
      </items>
    </pivotField>
    <pivotField showAll="0">
      <items count="6">
        <item x="0"/>
        <item x="3"/>
        <item x="2"/>
        <item x="4"/>
        <item x="1"/>
        <item t="default"/>
      </items>
    </pivotField>
  </pivotFields>
  <rowFields count="1">
    <field x="1"/>
  </rowFields>
  <rowItems count="4">
    <i>
      <x/>
    </i>
    <i>
      <x v="1"/>
    </i>
    <i>
      <x v="2"/>
    </i>
    <i t="grand">
      <x/>
    </i>
  </rowItems>
  <colItems count="1">
    <i/>
  </colItems>
  <dataFields count="1">
    <dataField name="Moyenne de ROI (%)" fld="9" subtotal="average" baseField="1" baseItem="0" numFmtId="10"/>
  </dataFields>
  <formats count="2">
    <format dxfId="648">
      <pivotArea collapsedLevelsAreSubtotals="1" fieldPosition="0">
        <references count="1">
          <reference field="1" count="0"/>
        </references>
      </pivotArea>
    </format>
    <format dxfId="649">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211943F-1D1D-44D4-BF47-EA28D824E3F4}" name="Tableau croisé dynamique11" cacheId="1" applyNumberFormats="0" applyBorderFormats="0" applyFontFormats="0" applyPatternFormats="0" applyAlignmentFormats="0" applyWidthHeightFormats="1" dataCaption="Valeurs" updatedVersion="8" minRefreshableVersion="3" useAutoFormatting="1" itemPrintTitles="1" createdVersion="8" indent="0" multipleFieldFilters="0" chartFormat="13" rowHeaderCaption="Sexe et Tranche d'âge">
  <location ref="B58:C64" firstHeaderRow="1" firstDataRow="1" firstDataCol="1"/>
  <pivotFields count="13">
    <pivotField showAll="0" sumSubtotal="1">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t="sum"/>
      </items>
    </pivotField>
    <pivotField showAll="0">
      <items count="4">
        <item x="0"/>
        <item x="2"/>
        <item x="1"/>
        <item t="default"/>
      </items>
    </pivotField>
    <pivotField numFmtId="165" showAll="0"/>
    <pivotField numFmtId="14" showAll="0"/>
    <pivotField numFmtId="164" showAll="0"/>
    <pivotField showAll="0">
      <items count="106">
        <item x="48"/>
        <item x="61"/>
        <item x="40"/>
        <item x="49"/>
        <item x="11"/>
        <item x="28"/>
        <item x="73"/>
        <item x="21"/>
        <item x="98"/>
        <item x="12"/>
        <item x="91"/>
        <item x="10"/>
        <item x="81"/>
        <item x="6"/>
        <item x="68"/>
        <item x="78"/>
        <item x="37"/>
        <item x="50"/>
        <item x="38"/>
        <item x="56"/>
        <item x="89"/>
        <item x="14"/>
        <item x="92"/>
        <item x="31"/>
        <item x="103"/>
        <item x="84"/>
        <item x="96"/>
        <item x="32"/>
        <item x="100"/>
        <item x="30"/>
        <item x="46"/>
        <item x="104"/>
        <item x="86"/>
        <item x="43"/>
        <item x="59"/>
        <item x="101"/>
        <item x="23"/>
        <item x="72"/>
        <item x="19"/>
        <item x="39"/>
        <item x="57"/>
        <item x="47"/>
        <item x="52"/>
        <item x="15"/>
        <item x="34"/>
        <item x="69"/>
        <item x="2"/>
        <item x="76"/>
        <item x="65"/>
        <item x="18"/>
        <item x="67"/>
        <item x="80"/>
        <item x="87"/>
        <item x="54"/>
        <item x="93"/>
        <item x="82"/>
        <item x="0"/>
        <item x="74"/>
        <item x="24"/>
        <item x="66"/>
        <item x="7"/>
        <item x="63"/>
        <item x="95"/>
        <item x="4"/>
        <item x="22"/>
        <item x="36"/>
        <item x="3"/>
        <item x="25"/>
        <item x="44"/>
        <item x="64"/>
        <item x="94"/>
        <item x="42"/>
        <item x="88"/>
        <item x="77"/>
        <item x="79"/>
        <item x="13"/>
        <item x="55"/>
        <item x="33"/>
        <item x="41"/>
        <item x="75"/>
        <item x="99"/>
        <item x="62"/>
        <item x="16"/>
        <item x="58"/>
        <item x="85"/>
        <item x="60"/>
        <item x="1"/>
        <item x="97"/>
        <item x="20"/>
        <item x="102"/>
        <item x="45"/>
        <item x="83"/>
        <item x="71"/>
        <item x="27"/>
        <item x="51"/>
        <item x="9"/>
        <item x="53"/>
        <item x="29"/>
        <item x="8"/>
        <item x="70"/>
        <item x="26"/>
        <item x="17"/>
        <item x="5"/>
        <item x="90"/>
        <item x="35"/>
        <item t="default"/>
      </items>
    </pivotField>
    <pivotField showAll="0"/>
    <pivotField dataField="1" numFmtId="10" showAll="0"/>
    <pivotField numFmtId="164" showAll="0"/>
    <pivotField numFmtId="9" showAll="0"/>
    <pivotField axis="axisRow" showAll="0">
      <items count="6">
        <item x="0"/>
        <item x="1"/>
        <item x="4"/>
        <item x="3"/>
        <item x="2"/>
        <item t="default"/>
      </items>
    </pivotField>
    <pivotField showAll="0">
      <items count="3">
        <item x="1"/>
        <item x="0"/>
        <item t="default"/>
      </items>
    </pivotField>
    <pivotField showAll="0">
      <items count="6">
        <item x="0"/>
        <item x="3"/>
        <item x="2"/>
        <item x="4"/>
        <item x="1"/>
        <item t="default"/>
      </items>
    </pivotField>
  </pivotFields>
  <rowFields count="1">
    <field x="10"/>
  </rowFields>
  <rowItems count="6">
    <i>
      <x/>
    </i>
    <i>
      <x v="1"/>
    </i>
    <i>
      <x v="2"/>
    </i>
    <i>
      <x v="3"/>
    </i>
    <i>
      <x v="4"/>
    </i>
    <i t="grand">
      <x/>
    </i>
  </rowItems>
  <colItems count="1">
    <i/>
  </colItems>
  <dataFields count="1">
    <dataField name="Moyenne de Taux de Conversion (%)" fld="7" subtotal="average" baseField="10" baseItem="0" numFmtId="10"/>
  </dataFields>
  <formats count="11">
    <format dxfId="673">
      <pivotArea outline="0" collapsedLevelsAreSubtotals="1" fieldPosition="0"/>
    </format>
    <format dxfId="674">
      <pivotArea field="11" type="button" dataOnly="0" labelOnly="1" outline="0"/>
    </format>
    <format dxfId="675">
      <pivotArea field="11" type="button" dataOnly="0" labelOnly="1" outline="0"/>
    </format>
    <format dxfId="676">
      <pivotArea field="11" type="button" dataOnly="0" labelOnly="1" outline="0"/>
    </format>
    <format dxfId="677">
      <pivotArea field="11" type="button" dataOnly="0" labelOnly="1" outline="0"/>
    </format>
    <format dxfId="678">
      <pivotArea field="11" type="button" dataOnly="0" labelOnly="1" outline="0"/>
    </format>
    <format dxfId="679">
      <pivotArea outline="0" collapsedLevelsAreSubtotals="1" fieldPosition="0"/>
    </format>
    <format dxfId="680">
      <pivotArea dataOnly="0" labelOnly="1" grandRow="1" outline="0" fieldPosition="0"/>
    </format>
    <format dxfId="681">
      <pivotArea dataOnly="0" labelOnly="1" grandRow="1" outline="0" fieldPosition="0"/>
    </format>
    <format dxfId="682">
      <pivotArea field="11" type="button" dataOnly="0" labelOnly="1" outline="0"/>
    </format>
    <format dxfId="683">
      <pivotArea dataOnly="0" labelOnly="1" outline="0" axis="axisValues" fieldPosition="0"/>
    </format>
  </formats>
  <chartFormats count="3">
    <chartFormat chart="9" format="6"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20A50C8-79A0-49F0-80A5-8A2ACAFFF67D}" name="Tableau croisé dynamique12" cacheId="1" applyNumberFormats="0" applyBorderFormats="0" applyFontFormats="0" applyPatternFormats="0" applyAlignmentFormats="0" applyWidthHeightFormats="1" dataCaption="Valeurs" updatedVersion="8" minRefreshableVersion="3" useAutoFormatting="1" itemPrintTitles="1" createdVersion="8" indent="0" multipleFieldFilters="0">
  <location ref="D3:D4" firstHeaderRow="1" firstDataRow="1" firstDataCol="0"/>
  <pivotFields count="13">
    <pivotField showAll="0"/>
    <pivotField showAll="0">
      <items count="4">
        <item x="0"/>
        <item x="2"/>
        <item x="1"/>
        <item t="default"/>
      </items>
    </pivotField>
    <pivotField numFmtId="165" showAll="0"/>
    <pivotField numFmtId="14" showAll="0"/>
    <pivotField numFmtId="164" showAll="0"/>
    <pivotField showAll="0"/>
    <pivotField showAll="0"/>
    <pivotField numFmtId="10" showAll="0"/>
    <pivotField dataField="1" numFmtId="164" showAll="0"/>
    <pivotField numFmtId="9" showAll="0"/>
    <pivotField showAll="0">
      <items count="6">
        <item x="0"/>
        <item x="1"/>
        <item x="4"/>
        <item x="3"/>
        <item x="2"/>
        <item t="default"/>
      </items>
    </pivotField>
    <pivotField showAll="0">
      <items count="3">
        <item x="1"/>
        <item x="0"/>
        <item t="default"/>
      </items>
    </pivotField>
    <pivotField showAll="0">
      <items count="6">
        <item x="0"/>
        <item x="3"/>
        <item x="2"/>
        <item x="4"/>
        <item x="1"/>
        <item t="default"/>
      </items>
    </pivotField>
  </pivotFields>
  <rowItems count="1">
    <i/>
  </rowItems>
  <colItems count="1">
    <i/>
  </colItems>
  <dataFields count="1">
    <dataField name="Somme de Ventes Générées (€)"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B18FD2D-56B6-4ED9-B12C-082A6D6C07AB}" name="Tableau croisé dynamique3" cacheId="1" applyNumberFormats="0" applyBorderFormats="0" applyFontFormats="0" applyPatternFormats="0" applyAlignmentFormats="0" applyWidthHeightFormats="1" dataCaption="Valeurs" updatedVersion="8" minRefreshableVersion="3" useAutoFormatting="1" itemPrintTitles="1" createdVersion="8" indent="0" multipleFieldFilters="0" chartFormat="57" rowHeaderCaption="Sexe et Tranche d'âge">
  <location ref="B78:D84" firstHeaderRow="0" firstDataRow="1" firstDataCol="1"/>
  <pivotFields count="13">
    <pivotField showAll="0" sumSubtotal="1">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t="sum"/>
      </items>
    </pivotField>
    <pivotField showAll="0">
      <items count="4">
        <item x="0"/>
        <item x="2"/>
        <item x="1"/>
        <item t="default"/>
      </items>
    </pivotField>
    <pivotField numFmtId="165" showAll="0"/>
    <pivotField numFmtId="14" showAll="0"/>
    <pivotField numFmtId="164" showAll="0"/>
    <pivotField showAll="0">
      <items count="106">
        <item x="48"/>
        <item x="61"/>
        <item x="40"/>
        <item x="49"/>
        <item x="11"/>
        <item x="28"/>
        <item x="73"/>
        <item x="21"/>
        <item x="98"/>
        <item x="12"/>
        <item x="91"/>
        <item x="10"/>
        <item x="81"/>
        <item x="6"/>
        <item x="68"/>
        <item x="78"/>
        <item x="37"/>
        <item x="50"/>
        <item x="38"/>
        <item x="56"/>
        <item x="89"/>
        <item x="14"/>
        <item x="92"/>
        <item x="31"/>
        <item x="103"/>
        <item x="84"/>
        <item x="96"/>
        <item x="32"/>
        <item x="100"/>
        <item x="30"/>
        <item x="46"/>
        <item x="104"/>
        <item x="86"/>
        <item x="43"/>
        <item x="59"/>
        <item x="101"/>
        <item x="23"/>
        <item x="72"/>
        <item x="19"/>
        <item x="39"/>
        <item x="57"/>
        <item x="47"/>
        <item x="52"/>
        <item x="15"/>
        <item x="34"/>
        <item x="69"/>
        <item x="2"/>
        <item x="76"/>
        <item x="65"/>
        <item x="18"/>
        <item x="67"/>
        <item x="80"/>
        <item x="87"/>
        <item x="54"/>
        <item x="93"/>
        <item x="82"/>
        <item x="0"/>
        <item x="74"/>
        <item x="24"/>
        <item x="66"/>
        <item x="7"/>
        <item x="63"/>
        <item x="95"/>
        <item x="4"/>
        <item x="22"/>
        <item x="36"/>
        <item x="3"/>
        <item x="25"/>
        <item x="44"/>
        <item x="64"/>
        <item x="94"/>
        <item x="42"/>
        <item x="88"/>
        <item x="77"/>
        <item x="79"/>
        <item x="13"/>
        <item x="55"/>
        <item x="33"/>
        <item x="41"/>
        <item x="75"/>
        <item x="99"/>
        <item x="62"/>
        <item x="16"/>
        <item x="58"/>
        <item x="85"/>
        <item x="60"/>
        <item x="1"/>
        <item x="97"/>
        <item x="20"/>
        <item x="102"/>
        <item x="45"/>
        <item x="83"/>
        <item x="71"/>
        <item x="27"/>
        <item x="51"/>
        <item x="9"/>
        <item x="53"/>
        <item x="29"/>
        <item x="8"/>
        <item x="70"/>
        <item x="26"/>
        <item x="17"/>
        <item x="5"/>
        <item x="90"/>
        <item x="35"/>
        <item t="default"/>
      </items>
    </pivotField>
    <pivotField showAll="0"/>
    <pivotField numFmtId="10" showAll="0"/>
    <pivotField dataField="1" numFmtId="164" showAll="0">
      <items count="106">
        <item x="72"/>
        <item x="32"/>
        <item x="5"/>
        <item x="98"/>
        <item x="42"/>
        <item x="36"/>
        <item x="90"/>
        <item x="71"/>
        <item x="61"/>
        <item x="100"/>
        <item x="84"/>
        <item x="2"/>
        <item x="58"/>
        <item x="14"/>
        <item x="0"/>
        <item x="87"/>
        <item x="81"/>
        <item x="25"/>
        <item x="37"/>
        <item x="27"/>
        <item x="70"/>
        <item x="40"/>
        <item x="4"/>
        <item x="68"/>
        <item x="6"/>
        <item x="79"/>
        <item x="15"/>
        <item x="10"/>
        <item x="92"/>
        <item x="102"/>
        <item x="89"/>
        <item x="83"/>
        <item x="56"/>
        <item x="29"/>
        <item x="31"/>
        <item x="96"/>
        <item x="21"/>
        <item x="77"/>
        <item x="13"/>
        <item x="54"/>
        <item x="99"/>
        <item x="66"/>
        <item x="19"/>
        <item x="34"/>
        <item x="20"/>
        <item x="26"/>
        <item x="85"/>
        <item x="23"/>
        <item x="82"/>
        <item x="103"/>
        <item x="97"/>
        <item x="18"/>
        <item x="59"/>
        <item x="35"/>
        <item x="60"/>
        <item x="49"/>
        <item x="57"/>
        <item x="64"/>
        <item x="44"/>
        <item x="7"/>
        <item x="65"/>
        <item x="78"/>
        <item x="80"/>
        <item x="28"/>
        <item x="52"/>
        <item x="46"/>
        <item x="8"/>
        <item x="67"/>
        <item x="16"/>
        <item x="17"/>
        <item x="24"/>
        <item x="48"/>
        <item x="22"/>
        <item x="11"/>
        <item x="39"/>
        <item x="63"/>
        <item x="88"/>
        <item x="47"/>
        <item x="101"/>
        <item x="30"/>
        <item x="3"/>
        <item x="86"/>
        <item x="74"/>
        <item x="76"/>
        <item x="62"/>
        <item x="41"/>
        <item x="55"/>
        <item x="94"/>
        <item x="95"/>
        <item x="51"/>
        <item x="12"/>
        <item x="104"/>
        <item x="91"/>
        <item x="93"/>
        <item x="1"/>
        <item x="73"/>
        <item x="43"/>
        <item x="9"/>
        <item x="38"/>
        <item x="33"/>
        <item x="45"/>
        <item x="75"/>
        <item x="69"/>
        <item x="53"/>
        <item x="50"/>
        <item t="default"/>
      </items>
    </pivotField>
    <pivotField dataField="1" numFmtId="9" showAll="0" avgSubtotal="1">
      <items count="106">
        <item x="72"/>
        <item x="10"/>
        <item x="98"/>
        <item x="100"/>
        <item x="42"/>
        <item x="58"/>
        <item x="29"/>
        <item x="6"/>
        <item x="83"/>
        <item x="32"/>
        <item x="77"/>
        <item x="68"/>
        <item x="56"/>
        <item x="37"/>
        <item x="99"/>
        <item x="79"/>
        <item x="90"/>
        <item x="40"/>
        <item x="21"/>
        <item x="66"/>
        <item x="5"/>
        <item x="4"/>
        <item x="31"/>
        <item x="14"/>
        <item x="15"/>
        <item x="49"/>
        <item x="57"/>
        <item x="71"/>
        <item x="26"/>
        <item x="13"/>
        <item x="44"/>
        <item x="61"/>
        <item x="64"/>
        <item x="19"/>
        <item x="22"/>
        <item x="16"/>
        <item x="36"/>
        <item x="84"/>
        <item x="46"/>
        <item x="102"/>
        <item x="85"/>
        <item x="59"/>
        <item x="82"/>
        <item x="63"/>
        <item x="78"/>
        <item x="23"/>
        <item x="0"/>
        <item x="60"/>
        <item x="97"/>
        <item x="18"/>
        <item x="39"/>
        <item x="24"/>
        <item x="89"/>
        <item x="95"/>
        <item x="41"/>
        <item x="103"/>
        <item x="27"/>
        <item x="47"/>
        <item x="96"/>
        <item x="17"/>
        <item x="65"/>
        <item x="48"/>
        <item x="93"/>
        <item x="28"/>
        <item x="54"/>
        <item x="3"/>
        <item x="8"/>
        <item x="30"/>
        <item x="20"/>
        <item x="81"/>
        <item x="101"/>
        <item x="87"/>
        <item x="45"/>
        <item x="38"/>
        <item x="74"/>
        <item x="9"/>
        <item x="91"/>
        <item x="75"/>
        <item x="86"/>
        <item x="2"/>
        <item x="92"/>
        <item x="94"/>
        <item x="76"/>
        <item x="70"/>
        <item x="51"/>
        <item x="25"/>
        <item x="67"/>
        <item x="35"/>
        <item x="73"/>
        <item x="62"/>
        <item x="12"/>
        <item x="80"/>
        <item x="7"/>
        <item x="88"/>
        <item x="53"/>
        <item x="104"/>
        <item x="43"/>
        <item x="55"/>
        <item x="52"/>
        <item x="33"/>
        <item x="1"/>
        <item x="34"/>
        <item x="50"/>
        <item x="11"/>
        <item x="69"/>
        <item t="avg"/>
      </items>
    </pivotField>
    <pivotField showAll="0">
      <items count="6">
        <item x="0"/>
        <item x="1"/>
        <item x="4"/>
        <item x="3"/>
        <item x="2"/>
        <item t="default"/>
      </items>
    </pivotField>
    <pivotField showAll="0">
      <items count="3">
        <item x="1"/>
        <item x="0"/>
        <item t="default"/>
      </items>
    </pivotField>
    <pivotField axis="axisRow" showAll="0">
      <items count="6">
        <item x="0"/>
        <item x="3"/>
        <item x="2"/>
        <item x="4"/>
        <item x="1"/>
        <item t="default"/>
      </items>
    </pivotField>
  </pivotFields>
  <rowFields count="1">
    <field x="12"/>
  </rowFields>
  <rowItems count="6">
    <i>
      <x/>
    </i>
    <i>
      <x v="1"/>
    </i>
    <i>
      <x v="2"/>
    </i>
    <i>
      <x v="3"/>
    </i>
    <i>
      <x v="4"/>
    </i>
    <i t="grand">
      <x/>
    </i>
  </rowItems>
  <colFields count="1">
    <field x="-2"/>
  </colFields>
  <colItems count="2">
    <i>
      <x/>
    </i>
    <i i="1">
      <x v="1"/>
    </i>
  </colItems>
  <dataFields count="2">
    <dataField name="Somme de Ventes Générées (€)" fld="8" baseField="0" baseItem="0" numFmtId="164"/>
    <dataField name="Moyenne de ROI (%)" fld="9" subtotal="average" baseField="0" baseItem="0" numFmtId="9"/>
  </dataFields>
  <formats count="11">
    <format dxfId="651">
      <pivotArea outline="0" collapsedLevelsAreSubtotals="1" fieldPosition="0"/>
    </format>
    <format dxfId="652">
      <pivotArea field="11" type="button" dataOnly="0" labelOnly="1" outline="0"/>
    </format>
    <format dxfId="653">
      <pivotArea field="11" type="button" dataOnly="0" labelOnly="1" outline="0"/>
    </format>
    <format dxfId="654">
      <pivotArea field="11" type="button" dataOnly="0" labelOnly="1" outline="0"/>
    </format>
    <format dxfId="655">
      <pivotArea field="11" type="button" dataOnly="0" labelOnly="1" outline="0"/>
    </format>
    <format dxfId="656">
      <pivotArea field="11" type="button" dataOnly="0" labelOnly="1" outline="0"/>
    </format>
    <format dxfId="657">
      <pivotArea outline="0" collapsedLevelsAreSubtotals="1" fieldPosition="0"/>
    </format>
    <format dxfId="658">
      <pivotArea dataOnly="0" labelOnly="1" grandRow="1" outline="0" fieldPosition="0"/>
    </format>
    <format dxfId="659">
      <pivotArea dataOnly="0" labelOnly="1" grandRow="1" outline="0" fieldPosition="0"/>
    </format>
    <format dxfId="660">
      <pivotArea field="11" type="button" dataOnly="0" labelOnly="1" outline="0"/>
    </format>
    <format dxfId="661">
      <pivotArea dataOnly="0" labelOnly="1" outline="0" axis="axisValues" fieldPosition="0"/>
    </format>
  </formats>
  <chartFormats count="7">
    <chartFormat chart="23" format="213" series="1">
      <pivotArea type="data" outline="0" fieldPosition="0">
        <references count="1">
          <reference field="4294967294" count="1" selected="0">
            <x v="0"/>
          </reference>
        </references>
      </pivotArea>
    </chartFormat>
    <chartFormat chart="23" format="215" series="1">
      <pivotArea type="data" outline="0" fieldPosition="0">
        <references count="1">
          <reference field="4294967294" count="1" selected="0">
            <x v="1"/>
          </reference>
        </references>
      </pivotArea>
    </chartFormat>
    <chartFormat chart="23" format="216">
      <pivotArea type="data" outline="0" fieldPosition="0">
        <references count="2">
          <reference field="4294967294" count="1" selected="0">
            <x v="0"/>
          </reference>
          <reference field="12" count="1" selected="0">
            <x v="0"/>
          </reference>
        </references>
      </pivotArea>
    </chartFormat>
    <chartFormat chart="56" format="219" series="1">
      <pivotArea type="data" outline="0" fieldPosition="0">
        <references count="1">
          <reference field="4294967294" count="1" selected="0">
            <x v="0"/>
          </reference>
        </references>
      </pivotArea>
    </chartFormat>
    <chartFormat chart="56" format="220" series="1">
      <pivotArea type="data" outline="0" fieldPosition="0">
        <references count="1">
          <reference field="4294967294" count="1" selected="0">
            <x v="1"/>
          </reference>
        </references>
      </pivotArea>
    </chartFormat>
    <chartFormat chart="56" format="221">
      <pivotArea type="data" outline="0" fieldPosition="0">
        <references count="2">
          <reference field="4294967294" count="1" selected="0">
            <x v="1"/>
          </reference>
          <reference field="12" count="1" selected="0">
            <x v="2"/>
          </reference>
        </references>
      </pivotArea>
    </chartFormat>
    <chartFormat chart="56" format="222">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Réseau_Social" xr10:uid="{7E1EC8E7-94F0-4269-B1D8-B0D1B1E0E033}" sourceName="Réseau Social">
  <pivotTables>
    <pivotTable tabId="9" name="Tableau croisé dynamique8"/>
    <pivotTable tabId="9" name="Tableau croisé dynamique1"/>
    <pivotTable tabId="9" name="Tableau croisé dynamique10"/>
    <pivotTable tabId="9" name="Tableau croisé dynamique11"/>
    <pivotTable tabId="9" name="Tableau croisé dynamique2"/>
    <pivotTable tabId="9" name="Tableau croisé dynamique3"/>
    <pivotTable tabId="9" name="Tableau croisé dynamique4"/>
    <pivotTable tabId="9" name="Tableau croisé dynamique5"/>
    <pivotTable tabId="9" name="Tableau croisé dynamique6"/>
    <pivotTable tabId="9" name="Tableau croisé dynamique7"/>
    <pivotTable tabId="9" name="Tableau croisé dynamique9"/>
    <pivotTable tabId="9" name="Tableau croisé dynamique12"/>
  </pivotTables>
  <data>
    <tabular pivotCacheId="799649822">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Segmentation_du_Public___Âge" xr10:uid="{2EA55FB5-CF8C-42F7-8EFA-C7513DC6BE5F}" sourceName="Segmentation du Public - Âge">
  <pivotTables>
    <pivotTable tabId="9" name="Tableau croisé dynamique8"/>
    <pivotTable tabId="9" name="Tableau croisé dynamique1"/>
    <pivotTable tabId="9" name="Tableau croisé dynamique10"/>
    <pivotTable tabId="9" name="Tableau croisé dynamique11"/>
    <pivotTable tabId="9" name="Tableau croisé dynamique2"/>
    <pivotTable tabId="9" name="Tableau croisé dynamique3"/>
    <pivotTable tabId="9" name="Tableau croisé dynamique4"/>
    <pivotTable tabId="9" name="Tableau croisé dynamique5"/>
    <pivotTable tabId="9" name="Tableau croisé dynamique6"/>
    <pivotTable tabId="9" name="Tableau croisé dynamique7"/>
    <pivotTable tabId="9" name="Tableau croisé dynamique9"/>
    <pivotTable tabId="3" name="Tableau croisé dynamique2"/>
    <pivotTable tabId="9" name="Tableau croisé dynamique12"/>
  </pivotTables>
  <data>
    <tabular pivotCacheId="799649822">
      <items count="5">
        <i x="0" s="1"/>
        <i x="1" s="1"/>
        <i x="4"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Centre_Intérêt" xr10:uid="{B56F9F76-4369-43EB-B955-554C5E6E573F}" sourceName="Centre Intérêt">
  <pivotTables>
    <pivotTable tabId="9" name="Tableau croisé dynamique8"/>
    <pivotTable tabId="9" name="Tableau croisé dynamique1"/>
    <pivotTable tabId="9" name="Tableau croisé dynamique10"/>
    <pivotTable tabId="9" name="Tableau croisé dynamique11"/>
    <pivotTable tabId="9" name="Tableau croisé dynamique2"/>
    <pivotTable tabId="9" name="Tableau croisé dynamique3"/>
    <pivotTable tabId="9" name="Tableau croisé dynamique4"/>
    <pivotTable tabId="9" name="Tableau croisé dynamique5"/>
    <pivotTable tabId="9" name="Tableau croisé dynamique6"/>
    <pivotTable tabId="9" name="Tableau croisé dynamique7"/>
    <pivotTable tabId="9" name="Tableau croisé dynamique9"/>
    <pivotTable tabId="9" name="Tableau croisé dynamique12"/>
  </pivotTables>
  <data>
    <tabular pivotCacheId="799649822">
      <items count="5">
        <i x="0" s="1"/>
        <i x="3" s="1"/>
        <i x="2" s="1"/>
        <i x="4"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Segmentation_du_Public___Sexe" xr10:uid="{E00DFBFB-4E5D-4F6E-A90A-B7D1931ADCF3}" sourceName="Segmentation du Public - Sexe">
  <pivotTables>
    <pivotTable tabId="9" name="Tableau croisé dynamique12"/>
    <pivotTable tabId="9" name="Tableau croisé dynamique1"/>
    <pivotTable tabId="9" name="Tableau croisé dynamique10"/>
    <pivotTable tabId="9" name="Tableau croisé dynamique11"/>
    <pivotTable tabId="9" name="Tableau croisé dynamique2"/>
    <pivotTable tabId="9" name="Tableau croisé dynamique3"/>
    <pivotTable tabId="9" name="Tableau croisé dynamique4"/>
    <pivotTable tabId="9" name="Tableau croisé dynamique5"/>
    <pivotTable tabId="9" name="Tableau croisé dynamique6"/>
    <pivotTable tabId="9" name="Tableau croisé dynamique7"/>
    <pivotTable tabId="9" name="Tableau croisé dynamique8"/>
    <pivotTable tabId="9" name="Tableau croisé dynamique9"/>
  </pivotTables>
  <data>
    <tabular pivotCacheId="79964982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éseau Social" xr10:uid="{50955FA9-F9AF-451D-A3CD-74EB7CBE1324}" cache="Segment_Réseau_Social" caption="Réseau Social" style="SlicerStyleDark6" rowHeight="241300"/>
  <slicer name="Segmentation du Public - Âge" xr10:uid="{EBD7EC45-5A58-49D7-8D72-E3911518C27C}" cache="Segment_Segmentation_du_Public___Âge" caption="Segmentation du Public - Âge" startItem="1" style="SlicerStyleDark6" rowHeight="241300"/>
  <slicer name="Centre Intérêt" xr10:uid="{6975466A-0BCF-44E9-8F95-A53254852DF9}" cache="Segment_Centre_Intérêt" caption="Centre Intérêt" style="SlicerStyleDark6" rowHeight="241300"/>
  <slicer name="Segmentation du Public - Sexe" xr10:uid="{BAE5DEAD-8A68-413D-8868-BF1214B19180}" cache="Segment_Segmentation_du_Public___Sexe" caption="Segmentation du Public - Sexe"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538902-6EC2-43CA-8F51-6C427AE73620}" name="Tableau1" displayName="Tableau1" ref="A1:M106" totalsRowShown="0" headerRowDxfId="720" headerRowBorderDxfId="727" tableBorderDxfId="728">
  <autoFilter ref="A1:M106" xr:uid="{A0538902-6EC2-43CA-8F51-6C427AE73620}"/>
  <tableColumns count="13">
    <tableColumn id="1" xr3:uid="{8501D0AB-31FB-4F7C-A000-3B6944B0F0EA}" name="ID Campagne"/>
    <tableColumn id="2" xr3:uid="{2E804332-48AF-4E6C-AA7A-0DBF2F74C3F2}" name="Réseau Social"/>
    <tableColumn id="3" xr3:uid="{6CAC27C7-F2C4-4925-B974-DD1E494918A9}" name="Date de Début" dataDxfId="726"/>
    <tableColumn id="4" xr3:uid="{A8683BC7-EF0F-40DE-95AD-CFF6FC6E23D6}" name="Date de Fin" dataDxfId="725"/>
    <tableColumn id="5" xr3:uid="{F379F287-0AB2-469E-8AF8-B37B1BDD6254}" name="Budget de la Campagne (€)" dataDxfId="724"/>
    <tableColumn id="6" xr3:uid="{C0F54D5D-253B-4817-B922-62846D51A225}" name="Nombre de Vues"/>
    <tableColumn id="7" xr3:uid="{51EF1648-1E4B-4C16-9394-544569A04FD0}" name="Nombre de Clics"/>
    <tableColumn id="8" xr3:uid="{2476D7B3-6635-4634-BA8D-E49427B69C60}" name="Taux de Conversion (%)" dataDxfId="723" dataCellStyle="Pourcentage"/>
    <tableColumn id="9" xr3:uid="{DBE7AFFB-28E7-48E4-B921-F561F8DDD99C}" name="Ventes Générées (€)" dataDxfId="722"/>
    <tableColumn id="10" xr3:uid="{2986BB51-90F1-43D8-A65F-4E9550A14ADA}" name="ROI (%)" dataDxfId="721">
      <calculatedColumnFormula>(I2-E2)/E2</calculatedColumnFormula>
    </tableColumn>
    <tableColumn id="11" xr3:uid="{FEC75158-2057-439F-9BE8-9E848B0904E1}" name="Segmentation du Public - Âge"/>
    <tableColumn id="12" xr3:uid="{E24F3AA5-88EF-402E-A6A2-9335E99E8130}" name="Segmentation du Public - Sexe"/>
    <tableColumn id="13" xr3:uid="{AC8919B2-44A5-47F3-883E-13815306411B}" name="Centre Intérêt"/>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drawing" Target="../drawings/drawing1.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M106"/>
  <sheetViews>
    <sheetView workbookViewId="0">
      <selection activeCell="C8" sqref="C8"/>
    </sheetView>
  </sheetViews>
  <sheetFormatPr baseColWidth="10" defaultColWidth="8.85546875" defaultRowHeight="15" x14ac:dyDescent="0.25"/>
  <cols>
    <col min="1" max="1" width="14.7109375" customWidth="1"/>
    <col min="2" max="2" width="15.140625" customWidth="1"/>
    <col min="3" max="3" width="18" style="19" bestFit="1" customWidth="1"/>
    <col min="4" max="4" width="18" style="5" bestFit="1" customWidth="1"/>
    <col min="5" max="5" width="26.7109375" style="12" customWidth="1"/>
    <col min="6" max="6" width="18" customWidth="1"/>
    <col min="7" max="7" width="17.5703125" customWidth="1"/>
    <col min="8" max="8" width="23.85546875" style="1" customWidth="1"/>
    <col min="9" max="9" width="21.42578125" style="12" customWidth="1"/>
    <col min="10" max="10" width="17.85546875" style="6" customWidth="1"/>
    <col min="11" max="11" width="29.140625" customWidth="1"/>
    <col min="12" max="12" width="30" customWidth="1"/>
    <col min="13" max="13" width="29.28515625" bestFit="1" customWidth="1"/>
  </cols>
  <sheetData>
    <row r="1" spans="1:13" x14ac:dyDescent="0.25">
      <c r="A1" s="45" t="s">
        <v>0</v>
      </c>
      <c r="B1" s="45" t="s">
        <v>1</v>
      </c>
      <c r="C1" s="46" t="s">
        <v>2</v>
      </c>
      <c r="D1" s="47" t="s">
        <v>3</v>
      </c>
      <c r="E1" s="48" t="s">
        <v>4</v>
      </c>
      <c r="F1" s="45" t="s">
        <v>5</v>
      </c>
      <c r="G1" s="45" t="s">
        <v>6</v>
      </c>
      <c r="H1" s="49" t="s">
        <v>7</v>
      </c>
      <c r="I1" s="48" t="s">
        <v>8</v>
      </c>
      <c r="J1" s="50" t="s">
        <v>70</v>
      </c>
      <c r="K1" s="45" t="s">
        <v>9</v>
      </c>
      <c r="L1" s="45" t="s">
        <v>10</v>
      </c>
      <c r="M1" s="45" t="s">
        <v>26</v>
      </c>
    </row>
    <row r="2" spans="1:13" x14ac:dyDescent="0.25">
      <c r="A2">
        <v>1</v>
      </c>
      <c r="B2" t="s">
        <v>11</v>
      </c>
      <c r="C2" s="19">
        <v>44293.36347222222</v>
      </c>
      <c r="D2" s="5">
        <v>44540.354618055557</v>
      </c>
      <c r="E2" s="12">
        <v>1394</v>
      </c>
      <c r="F2">
        <v>57620</v>
      </c>
      <c r="G2">
        <v>297</v>
      </c>
      <c r="H2" s="1">
        <v>5.1999999999999998E-3</v>
      </c>
      <c r="I2" s="12">
        <v>3046</v>
      </c>
      <c r="J2" s="6">
        <f>(I2-E2)/E2</f>
        <v>1.1850789096126255</v>
      </c>
      <c r="K2" t="s">
        <v>14</v>
      </c>
      <c r="L2" t="s">
        <v>19</v>
      </c>
      <c r="M2" t="s">
        <v>21</v>
      </c>
    </row>
    <row r="3" spans="1:13" x14ac:dyDescent="0.25">
      <c r="A3">
        <v>2</v>
      </c>
      <c r="B3" t="s">
        <v>12</v>
      </c>
      <c r="C3" s="19">
        <v>44408.361354166656</v>
      </c>
      <c r="D3" s="5">
        <v>44415.361354166656</v>
      </c>
      <c r="E3" s="12">
        <v>5874</v>
      </c>
      <c r="F3">
        <v>84725</v>
      </c>
      <c r="G3">
        <v>1771</v>
      </c>
      <c r="H3" s="1">
        <v>2.0899999999999998E-2</v>
      </c>
      <c r="I3" s="12">
        <v>28067</v>
      </c>
      <c r="J3" s="6">
        <f t="shared" ref="J3:J66" si="0">(I3-E3)/E3</f>
        <v>3.7781750085120871</v>
      </c>
      <c r="K3" t="s">
        <v>14</v>
      </c>
      <c r="L3" t="s">
        <v>20</v>
      </c>
      <c r="M3" t="s">
        <v>21</v>
      </c>
    </row>
    <row r="4" spans="1:13" x14ac:dyDescent="0.25">
      <c r="A4">
        <v>3</v>
      </c>
      <c r="B4" t="s">
        <v>12</v>
      </c>
      <c r="C4" s="19">
        <v>44256.695590277777</v>
      </c>
      <c r="D4" s="5">
        <v>44514.306608796287</v>
      </c>
      <c r="E4" s="12">
        <v>636</v>
      </c>
      <c r="F4">
        <v>48993</v>
      </c>
      <c r="G4">
        <v>2785</v>
      </c>
      <c r="H4" s="1">
        <v>5.6800000000000003E-2</v>
      </c>
      <c r="I4" s="12">
        <v>2412</v>
      </c>
      <c r="J4" s="6">
        <f t="shared" si="0"/>
        <v>2.7924528301886791</v>
      </c>
      <c r="K4" t="s">
        <v>15</v>
      </c>
      <c r="L4" t="s">
        <v>20</v>
      </c>
      <c r="M4" t="s">
        <v>22</v>
      </c>
    </row>
    <row r="5" spans="1:13" x14ac:dyDescent="0.25">
      <c r="A5">
        <v>4</v>
      </c>
      <c r="B5" t="s">
        <v>11</v>
      </c>
      <c r="C5" s="19">
        <v>44486.347442129627</v>
      </c>
      <c r="D5" s="5">
        <v>44493.347442129627</v>
      </c>
      <c r="E5" s="12">
        <v>6773</v>
      </c>
      <c r="F5">
        <v>68398</v>
      </c>
      <c r="G5">
        <v>706</v>
      </c>
      <c r="H5" s="1">
        <v>1.03E-2</v>
      </c>
      <c r="I5" s="12">
        <v>21632</v>
      </c>
      <c r="J5" s="6">
        <f t="shared" si="0"/>
        <v>2.1938579654510555</v>
      </c>
      <c r="K5" t="s">
        <v>15</v>
      </c>
      <c r="L5" t="s">
        <v>19</v>
      </c>
      <c r="M5" t="s">
        <v>23</v>
      </c>
    </row>
    <row r="6" spans="1:13" x14ac:dyDescent="0.25">
      <c r="A6">
        <v>5</v>
      </c>
      <c r="B6" t="s">
        <v>11</v>
      </c>
      <c r="C6" s="19">
        <v>44285.474178240736</v>
      </c>
      <c r="D6" s="5">
        <v>44513.962442129632</v>
      </c>
      <c r="E6" s="12">
        <v>3919</v>
      </c>
      <c r="F6">
        <v>67439</v>
      </c>
      <c r="G6">
        <v>2220</v>
      </c>
      <c r="H6" s="1">
        <v>3.2899999999999999E-2</v>
      </c>
      <c r="I6" s="12">
        <v>4710</v>
      </c>
      <c r="J6" s="6">
        <f t="shared" si="0"/>
        <v>0.20183720336820618</v>
      </c>
      <c r="K6" t="s">
        <v>15</v>
      </c>
      <c r="L6" t="s">
        <v>20</v>
      </c>
      <c r="M6" t="s">
        <v>22</v>
      </c>
    </row>
    <row r="7" spans="1:13" x14ac:dyDescent="0.25">
      <c r="A7">
        <v>6</v>
      </c>
      <c r="B7" t="s">
        <v>11</v>
      </c>
      <c r="C7" s="19">
        <v>44458.929131944453</v>
      </c>
      <c r="D7" s="5">
        <v>44465.929131944453</v>
      </c>
      <c r="E7" s="12">
        <v>668</v>
      </c>
      <c r="F7">
        <v>96952</v>
      </c>
      <c r="G7">
        <v>4442</v>
      </c>
      <c r="H7" s="1">
        <v>4.58E-2</v>
      </c>
      <c r="I7" s="12">
        <v>802</v>
      </c>
      <c r="J7" s="6">
        <f t="shared" si="0"/>
        <v>0.20059880239520958</v>
      </c>
      <c r="K7" t="s">
        <v>16</v>
      </c>
      <c r="L7" t="s">
        <v>20</v>
      </c>
      <c r="M7" t="s">
        <v>21</v>
      </c>
    </row>
    <row r="8" spans="1:13" x14ac:dyDescent="0.25">
      <c r="A8">
        <v>7</v>
      </c>
      <c r="B8" t="s">
        <v>13</v>
      </c>
      <c r="C8" s="19">
        <v>44201.335231481477</v>
      </c>
      <c r="D8" s="5">
        <v>44229.789155092592</v>
      </c>
      <c r="E8" s="12">
        <v>6504</v>
      </c>
      <c r="F8">
        <v>16352</v>
      </c>
      <c r="G8">
        <v>1259</v>
      </c>
      <c r="H8" s="1">
        <v>7.6999999999999999E-2</v>
      </c>
      <c r="I8" s="12">
        <v>4951</v>
      </c>
      <c r="J8" s="6">
        <f t="shared" si="0"/>
        <v>-0.23877613776137763</v>
      </c>
      <c r="K8" t="s">
        <v>15</v>
      </c>
      <c r="L8" t="s">
        <v>20</v>
      </c>
      <c r="M8" t="s">
        <v>24</v>
      </c>
    </row>
    <row r="9" spans="1:13" x14ac:dyDescent="0.25">
      <c r="A9">
        <v>8</v>
      </c>
      <c r="B9" t="s">
        <v>12</v>
      </c>
      <c r="C9" s="19">
        <v>44254.067476851851</v>
      </c>
      <c r="D9" s="5">
        <v>44297.686944444453</v>
      </c>
      <c r="E9" s="12">
        <v>3352</v>
      </c>
      <c r="F9">
        <v>65022</v>
      </c>
      <c r="G9">
        <v>1831</v>
      </c>
      <c r="H9" s="1">
        <v>2.8199999999999999E-2</v>
      </c>
      <c r="I9" s="12">
        <v>14741</v>
      </c>
      <c r="J9" s="6">
        <f t="shared" si="0"/>
        <v>3.3976730310262528</v>
      </c>
      <c r="K9" t="s">
        <v>16</v>
      </c>
      <c r="L9" t="s">
        <v>20</v>
      </c>
      <c r="M9" t="s">
        <v>21</v>
      </c>
    </row>
    <row r="10" spans="1:13" x14ac:dyDescent="0.25">
      <c r="A10">
        <v>9</v>
      </c>
      <c r="B10" t="s">
        <v>11</v>
      </c>
      <c r="C10" s="19">
        <v>44332.473611111112</v>
      </c>
      <c r="D10" s="5">
        <v>44546.527546296304</v>
      </c>
      <c r="E10" s="12">
        <v>4919</v>
      </c>
      <c r="F10">
        <v>91616</v>
      </c>
      <c r="G10">
        <v>2361</v>
      </c>
      <c r="H10" s="1">
        <v>2.58E-2</v>
      </c>
      <c r="I10" s="12">
        <v>15765</v>
      </c>
      <c r="J10" s="6">
        <f t="shared" si="0"/>
        <v>2.2049196991258384</v>
      </c>
      <c r="K10" t="s">
        <v>14</v>
      </c>
      <c r="L10" t="s">
        <v>20</v>
      </c>
      <c r="M10" t="s">
        <v>23</v>
      </c>
    </row>
    <row r="11" spans="1:13" x14ac:dyDescent="0.25">
      <c r="A11">
        <v>10</v>
      </c>
      <c r="B11" t="s">
        <v>11</v>
      </c>
      <c r="C11" s="19">
        <v>44228.268819444442</v>
      </c>
      <c r="D11" s="5">
        <v>44251.811122685183</v>
      </c>
      <c r="E11" s="12">
        <v>8539</v>
      </c>
      <c r="F11">
        <v>90935</v>
      </c>
      <c r="G11">
        <v>3495</v>
      </c>
      <c r="H11" s="1">
        <v>3.8399999999999997E-2</v>
      </c>
      <c r="I11" s="12">
        <v>31477</v>
      </c>
      <c r="J11" s="6">
        <f t="shared" si="0"/>
        <v>2.686263028457665</v>
      </c>
      <c r="K11" t="s">
        <v>16</v>
      </c>
      <c r="L11" t="s">
        <v>20</v>
      </c>
      <c r="M11" t="s">
        <v>23</v>
      </c>
    </row>
    <row r="12" spans="1:13" x14ac:dyDescent="0.25">
      <c r="A12">
        <v>11</v>
      </c>
      <c r="B12" t="s">
        <v>13</v>
      </c>
      <c r="C12" s="19">
        <v>44329.355254629627</v>
      </c>
      <c r="D12" s="5">
        <v>44468.289895833332</v>
      </c>
      <c r="E12" s="12">
        <v>9200</v>
      </c>
      <c r="F12">
        <v>15297</v>
      </c>
      <c r="G12">
        <v>2475</v>
      </c>
      <c r="H12" s="1">
        <v>0.1618</v>
      </c>
      <c r="I12" s="12">
        <v>5452</v>
      </c>
      <c r="J12" s="6">
        <f t="shared" si="0"/>
        <v>-0.40739130434782611</v>
      </c>
      <c r="K12" t="s">
        <v>17</v>
      </c>
      <c r="L12" t="s">
        <v>19</v>
      </c>
      <c r="M12" t="s">
        <v>25</v>
      </c>
    </row>
    <row r="13" spans="1:13" x14ac:dyDescent="0.25">
      <c r="A13">
        <v>12</v>
      </c>
      <c r="B13" t="s">
        <v>11</v>
      </c>
      <c r="C13" s="19">
        <v>44366.74423611111</v>
      </c>
      <c r="D13" s="5">
        <v>44472.621759259258</v>
      </c>
      <c r="E13" s="12">
        <v>3686</v>
      </c>
      <c r="F13">
        <v>6896</v>
      </c>
      <c r="G13">
        <v>695</v>
      </c>
      <c r="H13" s="1">
        <v>0.1008</v>
      </c>
      <c r="I13" s="12">
        <v>17930</v>
      </c>
      <c r="J13" s="6">
        <f t="shared" si="0"/>
        <v>3.8643516006511125</v>
      </c>
      <c r="K13" t="s">
        <v>18</v>
      </c>
      <c r="L13" t="s">
        <v>20</v>
      </c>
      <c r="M13" t="s">
        <v>24</v>
      </c>
    </row>
    <row r="14" spans="1:13" x14ac:dyDescent="0.25">
      <c r="A14">
        <v>13</v>
      </c>
      <c r="B14" t="s">
        <v>12</v>
      </c>
      <c r="C14" s="19">
        <v>44304.363900462973</v>
      </c>
      <c r="D14" s="5">
        <v>44382.003391203703</v>
      </c>
      <c r="E14" s="12">
        <v>6418</v>
      </c>
      <c r="F14">
        <v>13003</v>
      </c>
      <c r="G14">
        <v>2404</v>
      </c>
      <c r="H14" s="1">
        <v>0.18490000000000001</v>
      </c>
      <c r="I14" s="12">
        <v>27250</v>
      </c>
      <c r="J14" s="6">
        <f t="shared" si="0"/>
        <v>3.2458709878466814</v>
      </c>
      <c r="K14" t="s">
        <v>14</v>
      </c>
      <c r="L14" t="s">
        <v>19</v>
      </c>
      <c r="M14" t="s">
        <v>22</v>
      </c>
    </row>
    <row r="15" spans="1:13" x14ac:dyDescent="0.25">
      <c r="A15">
        <v>14</v>
      </c>
      <c r="B15" t="s">
        <v>13</v>
      </c>
      <c r="C15" s="19">
        <v>44204.022511574083</v>
      </c>
      <c r="D15" s="5">
        <v>44232.968298611107</v>
      </c>
      <c r="E15" s="12">
        <v>5649</v>
      </c>
      <c r="F15">
        <v>74478</v>
      </c>
      <c r="G15">
        <v>3817</v>
      </c>
      <c r="H15" s="1">
        <v>5.1299999999999998E-2</v>
      </c>
      <c r="I15" s="12">
        <v>8222</v>
      </c>
      <c r="J15" s="6">
        <f t="shared" si="0"/>
        <v>0.4554788458134183</v>
      </c>
      <c r="K15" t="s">
        <v>17</v>
      </c>
      <c r="L15" t="s">
        <v>19</v>
      </c>
      <c r="M15" t="s">
        <v>24</v>
      </c>
    </row>
    <row r="16" spans="1:13" x14ac:dyDescent="0.25">
      <c r="A16">
        <v>15</v>
      </c>
      <c r="B16" t="s">
        <v>13</v>
      </c>
      <c r="C16" s="19">
        <v>44269.510462962957</v>
      </c>
      <c r="D16" s="5">
        <v>44276.510462962957</v>
      </c>
      <c r="E16" s="12">
        <v>2277</v>
      </c>
      <c r="F16">
        <v>24761</v>
      </c>
      <c r="G16">
        <v>3519</v>
      </c>
      <c r="H16" s="1">
        <v>0.1421</v>
      </c>
      <c r="I16" s="12">
        <v>3001</v>
      </c>
      <c r="J16" s="6">
        <f t="shared" si="0"/>
        <v>0.31796223100570925</v>
      </c>
      <c r="K16" t="s">
        <v>18</v>
      </c>
      <c r="L16" t="s">
        <v>19</v>
      </c>
      <c r="M16" t="s">
        <v>25</v>
      </c>
    </row>
    <row r="17" spans="1:13" x14ac:dyDescent="0.25">
      <c r="A17">
        <v>16</v>
      </c>
      <c r="B17" t="s">
        <v>13</v>
      </c>
      <c r="C17" s="19">
        <v>44425.339108796303</v>
      </c>
      <c r="D17" s="5">
        <v>44432.339108796303</v>
      </c>
      <c r="E17" s="12">
        <v>3861</v>
      </c>
      <c r="F17">
        <v>43439</v>
      </c>
      <c r="G17">
        <v>1231</v>
      </c>
      <c r="H17" s="1">
        <v>2.8299999999999999E-2</v>
      </c>
      <c r="I17" s="12">
        <v>5117</v>
      </c>
      <c r="J17" s="6">
        <f t="shared" si="0"/>
        <v>0.32530432530432529</v>
      </c>
      <c r="K17" t="s">
        <v>17</v>
      </c>
      <c r="L17" t="s">
        <v>20</v>
      </c>
      <c r="M17" t="s">
        <v>21</v>
      </c>
    </row>
    <row r="18" spans="1:13" x14ac:dyDescent="0.25">
      <c r="A18">
        <v>17</v>
      </c>
      <c r="B18" t="s">
        <v>11</v>
      </c>
      <c r="C18" s="19">
        <v>44420.439849537041</v>
      </c>
      <c r="D18" s="5">
        <v>44427.439849537041</v>
      </c>
      <c r="E18" s="12">
        <v>8838</v>
      </c>
      <c r="F18">
        <v>82858</v>
      </c>
      <c r="G18">
        <v>2103</v>
      </c>
      <c r="H18" s="1">
        <v>2.5399999999999999E-2</v>
      </c>
      <c r="I18" s="12">
        <v>16519</v>
      </c>
      <c r="J18" s="6">
        <f t="shared" si="0"/>
        <v>0.86908802896582937</v>
      </c>
      <c r="K18" t="s">
        <v>18</v>
      </c>
      <c r="L18" t="s">
        <v>20</v>
      </c>
      <c r="M18" t="s">
        <v>23</v>
      </c>
    </row>
    <row r="19" spans="1:13" x14ac:dyDescent="0.25">
      <c r="A19">
        <v>18</v>
      </c>
      <c r="B19" t="s">
        <v>11</v>
      </c>
      <c r="C19" s="19">
        <v>44431.595532407409</v>
      </c>
      <c r="D19" s="5">
        <v>44438.595532407409</v>
      </c>
      <c r="E19" s="12">
        <v>5893</v>
      </c>
      <c r="F19">
        <v>96804</v>
      </c>
      <c r="G19">
        <v>3691</v>
      </c>
      <c r="H19" s="1">
        <v>3.8100000000000002E-2</v>
      </c>
      <c r="I19" s="12">
        <v>16862</v>
      </c>
      <c r="J19" s="6">
        <f t="shared" si="0"/>
        <v>1.8613609367045647</v>
      </c>
      <c r="K19" t="s">
        <v>18</v>
      </c>
      <c r="L19" t="s">
        <v>20</v>
      </c>
      <c r="M19" t="s">
        <v>21</v>
      </c>
    </row>
    <row r="20" spans="1:13" x14ac:dyDescent="0.25">
      <c r="A20">
        <v>19</v>
      </c>
      <c r="B20" t="s">
        <v>11</v>
      </c>
      <c r="C20" s="19">
        <v>44341.147407407407</v>
      </c>
      <c r="D20" s="5">
        <v>44348.147407407407</v>
      </c>
      <c r="E20" s="12">
        <v>4817</v>
      </c>
      <c r="F20">
        <v>53280</v>
      </c>
      <c r="G20">
        <v>3321</v>
      </c>
      <c r="H20" s="1">
        <v>6.2300000000000001E-2</v>
      </c>
      <c r="I20" s="12">
        <v>11771</v>
      </c>
      <c r="J20" s="6">
        <f t="shared" si="0"/>
        <v>1.4436371185385095</v>
      </c>
      <c r="K20" t="s">
        <v>15</v>
      </c>
      <c r="L20" t="s">
        <v>19</v>
      </c>
      <c r="M20" t="s">
        <v>21</v>
      </c>
    </row>
    <row r="21" spans="1:13" x14ac:dyDescent="0.25">
      <c r="A21">
        <v>20</v>
      </c>
      <c r="B21" t="s">
        <v>13</v>
      </c>
      <c r="C21" s="19">
        <v>44438.494479166657</v>
      </c>
      <c r="D21" s="5">
        <v>44445.494479166657</v>
      </c>
      <c r="E21" s="12">
        <v>5105</v>
      </c>
      <c r="F21">
        <v>37589</v>
      </c>
      <c r="G21">
        <v>2121</v>
      </c>
      <c r="H21" s="1">
        <v>5.6399999999999999E-2</v>
      </c>
      <c r="I21" s="12">
        <v>9242</v>
      </c>
      <c r="J21" s="6">
        <f t="shared" si="0"/>
        <v>0.8103819784524976</v>
      </c>
      <c r="K21" t="s">
        <v>17</v>
      </c>
      <c r="L21" t="s">
        <v>20</v>
      </c>
      <c r="M21" t="s">
        <v>25</v>
      </c>
    </row>
    <row r="22" spans="1:13" x14ac:dyDescent="0.25">
      <c r="A22">
        <v>21</v>
      </c>
      <c r="B22" t="s">
        <v>13</v>
      </c>
      <c r="C22" s="19">
        <v>44397.618344907409</v>
      </c>
      <c r="D22" s="5">
        <v>44404.618344907409</v>
      </c>
      <c r="E22" s="12">
        <v>3062</v>
      </c>
      <c r="F22">
        <v>85631</v>
      </c>
      <c r="G22">
        <v>1807</v>
      </c>
      <c r="H22" s="1">
        <v>2.1100000000000001E-2</v>
      </c>
      <c r="I22" s="12">
        <v>9961</v>
      </c>
      <c r="J22" s="6">
        <f t="shared" si="0"/>
        <v>2.2531025473546702</v>
      </c>
      <c r="K22" t="s">
        <v>17</v>
      </c>
      <c r="L22" t="s">
        <v>20</v>
      </c>
      <c r="M22" t="s">
        <v>22</v>
      </c>
    </row>
    <row r="23" spans="1:13" x14ac:dyDescent="0.25">
      <c r="A23">
        <v>22</v>
      </c>
      <c r="B23" t="s">
        <v>12</v>
      </c>
      <c r="C23" s="19">
        <v>44438.218113425923</v>
      </c>
      <c r="D23" s="5">
        <v>44549.529108796298</v>
      </c>
      <c r="E23" s="12">
        <v>6713</v>
      </c>
      <c r="F23">
        <v>9472</v>
      </c>
      <c r="G23">
        <v>1682</v>
      </c>
      <c r="H23" s="1">
        <v>0.17760000000000001</v>
      </c>
      <c r="I23" s="12">
        <v>7570</v>
      </c>
      <c r="J23" s="6">
        <f t="shared" si="0"/>
        <v>0.12766274392968865</v>
      </c>
      <c r="K23" t="s">
        <v>14</v>
      </c>
      <c r="L23" t="s">
        <v>20</v>
      </c>
      <c r="M23" t="s">
        <v>21</v>
      </c>
    </row>
    <row r="24" spans="1:13" x14ac:dyDescent="0.25">
      <c r="A24">
        <v>23</v>
      </c>
      <c r="B24" t="s">
        <v>13</v>
      </c>
      <c r="C24" s="19">
        <v>44545.197256944448</v>
      </c>
      <c r="D24" s="5">
        <v>44552.197256944448</v>
      </c>
      <c r="E24" s="12">
        <v>9600</v>
      </c>
      <c r="F24">
        <v>67564</v>
      </c>
      <c r="G24">
        <v>100</v>
      </c>
      <c r="H24" s="1">
        <v>1.5E-3</v>
      </c>
      <c r="I24" s="12">
        <v>17420</v>
      </c>
      <c r="J24" s="6">
        <f t="shared" si="0"/>
        <v>0.81458333333333333</v>
      </c>
      <c r="K24" t="s">
        <v>16</v>
      </c>
      <c r="L24" t="s">
        <v>20</v>
      </c>
      <c r="M24" t="s">
        <v>23</v>
      </c>
    </row>
    <row r="25" spans="1:13" x14ac:dyDescent="0.25">
      <c r="A25">
        <v>24</v>
      </c>
      <c r="B25" t="s">
        <v>11</v>
      </c>
      <c r="C25" s="19">
        <v>44290.587118055562</v>
      </c>
      <c r="D25" s="5">
        <v>44550.366296296299</v>
      </c>
      <c r="E25" s="12">
        <v>5152</v>
      </c>
      <c r="F25">
        <v>36428</v>
      </c>
      <c r="G25">
        <v>791</v>
      </c>
      <c r="H25" s="1">
        <v>2.1700000000000001E-2</v>
      </c>
      <c r="I25" s="12">
        <v>11069</v>
      </c>
      <c r="J25" s="6">
        <f t="shared" si="0"/>
        <v>1.1484860248447204</v>
      </c>
      <c r="K25" t="s">
        <v>17</v>
      </c>
      <c r="L25" t="s">
        <v>19</v>
      </c>
      <c r="M25" t="s">
        <v>23</v>
      </c>
    </row>
    <row r="26" spans="1:13" x14ac:dyDescent="0.25">
      <c r="A26">
        <v>25</v>
      </c>
      <c r="B26" t="s">
        <v>11</v>
      </c>
      <c r="C26" s="19">
        <v>44390.611122685194</v>
      </c>
      <c r="D26" s="5">
        <v>44397.611122685194</v>
      </c>
      <c r="E26" s="12">
        <v>6735</v>
      </c>
      <c r="F26">
        <v>63444</v>
      </c>
      <c r="G26">
        <v>3246</v>
      </c>
      <c r="H26" s="1">
        <v>5.1200000000000002E-2</v>
      </c>
      <c r="I26" s="12">
        <v>17189</v>
      </c>
      <c r="J26" s="6">
        <f t="shared" si="0"/>
        <v>1.5521900519673348</v>
      </c>
      <c r="K26" t="s">
        <v>17</v>
      </c>
      <c r="L26" t="s">
        <v>20</v>
      </c>
      <c r="M26" t="s">
        <v>22</v>
      </c>
    </row>
    <row r="27" spans="1:13" x14ac:dyDescent="0.25">
      <c r="A27">
        <v>26</v>
      </c>
      <c r="B27" t="s">
        <v>13</v>
      </c>
      <c r="C27" s="19">
        <v>44501.387326388889</v>
      </c>
      <c r="D27" s="5">
        <v>44553.368877314817</v>
      </c>
      <c r="E27" s="12">
        <v>923</v>
      </c>
      <c r="F27">
        <v>68889</v>
      </c>
      <c r="G27">
        <v>2647</v>
      </c>
      <c r="H27" s="1">
        <v>3.8399999999999997E-2</v>
      </c>
      <c r="I27" s="12">
        <v>3722</v>
      </c>
      <c r="J27" s="6">
        <f t="shared" si="0"/>
        <v>3.0325027085590466</v>
      </c>
      <c r="K27" t="s">
        <v>14</v>
      </c>
      <c r="L27" t="s">
        <v>19</v>
      </c>
      <c r="M27" t="s">
        <v>22</v>
      </c>
    </row>
    <row r="28" spans="1:13" x14ac:dyDescent="0.25">
      <c r="A28">
        <v>27</v>
      </c>
      <c r="B28" t="s">
        <v>12</v>
      </c>
      <c r="C28" s="19">
        <v>44236.923333333332</v>
      </c>
      <c r="D28" s="5">
        <v>44506.363321759258</v>
      </c>
      <c r="E28" s="12">
        <v>7354</v>
      </c>
      <c r="F28">
        <v>93503</v>
      </c>
      <c r="G28">
        <v>2886</v>
      </c>
      <c r="H28" s="1">
        <v>3.09E-2</v>
      </c>
      <c r="I28" s="12">
        <v>10284</v>
      </c>
      <c r="J28" s="6">
        <f t="shared" si="0"/>
        <v>0.39842262714169158</v>
      </c>
      <c r="K28" t="s">
        <v>14</v>
      </c>
      <c r="L28" t="s">
        <v>20</v>
      </c>
      <c r="M28" t="s">
        <v>25</v>
      </c>
    </row>
    <row r="29" spans="1:13" x14ac:dyDescent="0.25">
      <c r="A29">
        <v>28</v>
      </c>
      <c r="B29" t="s">
        <v>13</v>
      </c>
      <c r="C29" s="19">
        <v>44412.996412037042</v>
      </c>
      <c r="D29" s="5">
        <v>44419.996412037042</v>
      </c>
      <c r="E29" s="12">
        <v>1467</v>
      </c>
      <c r="F29">
        <v>88582</v>
      </c>
      <c r="G29">
        <v>2783</v>
      </c>
      <c r="H29" s="1">
        <v>3.1399999999999997E-2</v>
      </c>
      <c r="I29" s="12">
        <v>4128</v>
      </c>
      <c r="J29" s="6">
        <f t="shared" si="0"/>
        <v>1.8139059304703475</v>
      </c>
      <c r="K29" t="s">
        <v>15</v>
      </c>
      <c r="L29" t="s">
        <v>19</v>
      </c>
      <c r="M29" t="s">
        <v>24</v>
      </c>
    </row>
    <row r="30" spans="1:13" x14ac:dyDescent="0.25">
      <c r="A30">
        <v>29</v>
      </c>
      <c r="B30" t="s">
        <v>13</v>
      </c>
      <c r="C30" s="19">
        <v>44438.11582175926</v>
      </c>
      <c r="D30" s="5">
        <v>44532.201886574083</v>
      </c>
      <c r="E30" s="12">
        <v>4870</v>
      </c>
      <c r="F30">
        <v>8734</v>
      </c>
      <c r="G30">
        <v>443</v>
      </c>
      <c r="H30" s="1">
        <v>5.0700000000000002E-2</v>
      </c>
      <c r="I30" s="12">
        <v>15417</v>
      </c>
      <c r="J30" s="6">
        <f t="shared" si="0"/>
        <v>2.1657084188911706</v>
      </c>
      <c r="K30" t="s">
        <v>16</v>
      </c>
      <c r="L30" t="s">
        <v>19</v>
      </c>
      <c r="M30" t="s">
        <v>23</v>
      </c>
    </row>
    <row r="31" spans="1:13" x14ac:dyDescent="0.25">
      <c r="A31">
        <v>30</v>
      </c>
      <c r="B31" t="s">
        <v>13</v>
      </c>
      <c r="C31" s="19">
        <v>44527.317013888889</v>
      </c>
      <c r="D31" s="5">
        <v>44534.317013888889</v>
      </c>
      <c r="E31" s="12">
        <v>9552</v>
      </c>
      <c r="F31">
        <v>91265</v>
      </c>
      <c r="G31">
        <v>4478</v>
      </c>
      <c r="H31" s="1">
        <v>4.9099999999999998E-2</v>
      </c>
      <c r="I31" s="12">
        <v>6772</v>
      </c>
      <c r="J31" s="6">
        <f t="shared" si="0"/>
        <v>-0.29103852596314905</v>
      </c>
      <c r="K31" t="s">
        <v>16</v>
      </c>
      <c r="L31" t="s">
        <v>20</v>
      </c>
      <c r="M31" t="s">
        <v>21</v>
      </c>
    </row>
    <row r="32" spans="1:13" x14ac:dyDescent="0.25">
      <c r="A32">
        <v>31</v>
      </c>
      <c r="B32" t="s">
        <v>11</v>
      </c>
      <c r="C32" s="19">
        <v>44323.422060185178</v>
      </c>
      <c r="D32" s="5">
        <v>44347.390266203707</v>
      </c>
      <c r="E32" s="12">
        <v>6687</v>
      </c>
      <c r="F32">
        <v>29436</v>
      </c>
      <c r="G32">
        <v>3287</v>
      </c>
      <c r="H32" s="1">
        <v>0.11169999999999999</v>
      </c>
      <c r="I32" s="12">
        <v>21625</v>
      </c>
      <c r="J32" s="6">
        <f t="shared" si="0"/>
        <v>2.233886645730522</v>
      </c>
      <c r="K32" t="s">
        <v>15</v>
      </c>
      <c r="L32" t="s">
        <v>20</v>
      </c>
      <c r="M32" t="s">
        <v>25</v>
      </c>
    </row>
    <row r="33" spans="1:13" x14ac:dyDescent="0.25">
      <c r="A33">
        <v>32</v>
      </c>
      <c r="B33" t="s">
        <v>11</v>
      </c>
      <c r="C33" s="19">
        <v>44476.01662037037</v>
      </c>
      <c r="D33" s="5">
        <v>44491.978171296287</v>
      </c>
      <c r="E33" s="12">
        <v>5703</v>
      </c>
      <c r="F33">
        <v>24905</v>
      </c>
      <c r="G33">
        <v>4624</v>
      </c>
      <c r="H33" s="1">
        <v>0.1857</v>
      </c>
      <c r="I33" s="12">
        <v>7227</v>
      </c>
      <c r="J33" s="6">
        <f t="shared" si="0"/>
        <v>0.26722777485533927</v>
      </c>
      <c r="K33" t="s">
        <v>14</v>
      </c>
      <c r="L33" t="s">
        <v>19</v>
      </c>
      <c r="M33" t="s">
        <v>22</v>
      </c>
    </row>
    <row r="34" spans="1:13" x14ac:dyDescent="0.25">
      <c r="A34">
        <v>33</v>
      </c>
      <c r="B34" t="s">
        <v>11</v>
      </c>
      <c r="C34" s="19">
        <v>44316.58666666667</v>
      </c>
      <c r="D34" s="5">
        <v>44354.322962962957</v>
      </c>
      <c r="E34" s="12">
        <v>933</v>
      </c>
      <c r="F34">
        <v>27981</v>
      </c>
      <c r="G34">
        <v>927</v>
      </c>
      <c r="H34" s="1">
        <v>3.3099999999999997E-2</v>
      </c>
      <c r="I34" s="12">
        <v>739</v>
      </c>
      <c r="J34" s="6">
        <f t="shared" si="0"/>
        <v>-0.20793140407288319</v>
      </c>
      <c r="K34" t="s">
        <v>14</v>
      </c>
      <c r="L34" t="s">
        <v>19</v>
      </c>
      <c r="M34" t="s">
        <v>21</v>
      </c>
    </row>
    <row r="35" spans="1:13" x14ac:dyDescent="0.25">
      <c r="A35">
        <v>34</v>
      </c>
      <c r="B35" t="s">
        <v>13</v>
      </c>
      <c r="C35" s="19">
        <v>44387.315972222219</v>
      </c>
      <c r="D35" s="5">
        <v>44394.315972222219</v>
      </c>
      <c r="E35" s="12">
        <v>6737</v>
      </c>
      <c r="F35">
        <v>77473</v>
      </c>
      <c r="G35">
        <v>1949</v>
      </c>
      <c r="H35" s="1">
        <v>2.52E-2</v>
      </c>
      <c r="I35" s="12">
        <v>32135</v>
      </c>
      <c r="J35" s="6">
        <f t="shared" si="0"/>
        <v>3.7699272673296718</v>
      </c>
      <c r="K35" t="s">
        <v>14</v>
      </c>
      <c r="L35" t="s">
        <v>20</v>
      </c>
      <c r="M35" t="s">
        <v>24</v>
      </c>
    </row>
    <row r="36" spans="1:13" x14ac:dyDescent="0.25">
      <c r="A36">
        <v>35</v>
      </c>
      <c r="B36" t="s">
        <v>12</v>
      </c>
      <c r="C36" s="19">
        <v>44258.509687500002</v>
      </c>
      <c r="D36" s="5">
        <v>44332.247847222221</v>
      </c>
      <c r="E36" s="12">
        <v>1929</v>
      </c>
      <c r="F36">
        <v>46463</v>
      </c>
      <c r="G36">
        <v>2321</v>
      </c>
      <c r="H36" s="1">
        <v>0.05</v>
      </c>
      <c r="I36" s="12">
        <v>9346</v>
      </c>
      <c r="J36" s="6">
        <f t="shared" si="0"/>
        <v>3.8449974079834113</v>
      </c>
      <c r="K36" t="s">
        <v>17</v>
      </c>
      <c r="L36" t="s">
        <v>19</v>
      </c>
      <c r="M36" t="s">
        <v>22</v>
      </c>
    </row>
    <row r="37" spans="1:13" x14ac:dyDescent="0.25">
      <c r="A37">
        <v>36</v>
      </c>
      <c r="B37" t="s">
        <v>13</v>
      </c>
      <c r="C37" s="19">
        <v>44374.534537037027</v>
      </c>
      <c r="D37" s="5">
        <v>44379.758715277778</v>
      </c>
      <c r="E37" s="12">
        <v>3046</v>
      </c>
      <c r="F37">
        <v>98691</v>
      </c>
      <c r="G37">
        <v>3304</v>
      </c>
      <c r="H37" s="1">
        <v>3.3500000000000002E-2</v>
      </c>
      <c r="I37" s="12">
        <v>12603</v>
      </c>
      <c r="J37" s="6">
        <f t="shared" si="0"/>
        <v>3.1375574523965857</v>
      </c>
      <c r="K37" t="s">
        <v>16</v>
      </c>
      <c r="L37" t="s">
        <v>20</v>
      </c>
      <c r="M37" t="s">
        <v>24</v>
      </c>
    </row>
    <row r="38" spans="1:13" x14ac:dyDescent="0.25">
      <c r="A38">
        <v>37</v>
      </c>
      <c r="B38" t="s">
        <v>13</v>
      </c>
      <c r="C38" s="19">
        <v>44507.593506944453</v>
      </c>
      <c r="D38" s="5">
        <v>44514.593506944453</v>
      </c>
      <c r="E38" s="12">
        <v>829</v>
      </c>
      <c r="F38">
        <v>67589</v>
      </c>
      <c r="G38">
        <v>3613</v>
      </c>
      <c r="H38" s="1">
        <v>5.3499999999999999E-2</v>
      </c>
      <c r="I38" s="12">
        <v>1550</v>
      </c>
      <c r="J38" s="6">
        <f t="shared" si="0"/>
        <v>0.86972255729794934</v>
      </c>
      <c r="K38" t="s">
        <v>16</v>
      </c>
      <c r="L38" t="s">
        <v>20</v>
      </c>
      <c r="M38" t="s">
        <v>24</v>
      </c>
    </row>
    <row r="39" spans="1:13" x14ac:dyDescent="0.25">
      <c r="A39">
        <v>38</v>
      </c>
      <c r="B39" t="s">
        <v>11</v>
      </c>
      <c r="C39" s="19">
        <v>44303.021956018521</v>
      </c>
      <c r="D39" s="5">
        <v>44427.530856481477</v>
      </c>
      <c r="E39" s="12">
        <v>4112</v>
      </c>
      <c r="F39">
        <v>20361</v>
      </c>
      <c r="G39">
        <v>193</v>
      </c>
      <c r="H39" s="1">
        <v>9.4999999999999998E-3</v>
      </c>
      <c r="I39" s="12">
        <v>3863</v>
      </c>
      <c r="J39" s="6">
        <f t="shared" si="0"/>
        <v>-6.0554474708171206E-2</v>
      </c>
      <c r="K39" t="s">
        <v>18</v>
      </c>
      <c r="L39" t="s">
        <v>19</v>
      </c>
      <c r="M39" t="s">
        <v>23</v>
      </c>
    </row>
    <row r="40" spans="1:13" x14ac:dyDescent="0.25">
      <c r="A40">
        <v>39</v>
      </c>
      <c r="B40" t="s">
        <v>11</v>
      </c>
      <c r="C40" s="19">
        <v>44203.60659722222</v>
      </c>
      <c r="D40" s="5">
        <v>44380.354432870372</v>
      </c>
      <c r="E40" s="12">
        <v>8901</v>
      </c>
      <c r="F40">
        <v>22875</v>
      </c>
      <c r="G40">
        <v>2567</v>
      </c>
      <c r="H40" s="1">
        <v>0.11219999999999999</v>
      </c>
      <c r="I40" s="12">
        <v>31857</v>
      </c>
      <c r="J40" s="6">
        <f t="shared" si="0"/>
        <v>2.5790360633636671</v>
      </c>
      <c r="K40" t="s">
        <v>18</v>
      </c>
      <c r="L40" t="s">
        <v>19</v>
      </c>
      <c r="M40" t="s">
        <v>23</v>
      </c>
    </row>
    <row r="41" spans="1:13" x14ac:dyDescent="0.25">
      <c r="A41">
        <v>40</v>
      </c>
      <c r="B41" t="s">
        <v>13</v>
      </c>
      <c r="C41" s="19">
        <v>44391.420752314807</v>
      </c>
      <c r="D41" s="5">
        <v>44398.420752314807</v>
      </c>
      <c r="E41" s="12">
        <v>7261</v>
      </c>
      <c r="F41">
        <v>37661</v>
      </c>
      <c r="G41">
        <v>3878</v>
      </c>
      <c r="H41" s="1">
        <v>0.10299999999999999</v>
      </c>
      <c r="I41" s="12">
        <v>18012</v>
      </c>
      <c r="J41" s="6">
        <f t="shared" si="0"/>
        <v>1.4806500482027269</v>
      </c>
      <c r="K41" t="s">
        <v>17</v>
      </c>
      <c r="L41" t="s">
        <v>19</v>
      </c>
      <c r="M41" t="s">
        <v>24</v>
      </c>
    </row>
    <row r="42" spans="1:13" x14ac:dyDescent="0.25">
      <c r="A42">
        <v>41</v>
      </c>
      <c r="B42" t="s">
        <v>12</v>
      </c>
      <c r="C42" s="19">
        <v>44471.915266203701</v>
      </c>
      <c r="D42" s="5">
        <v>44472.915266203701</v>
      </c>
      <c r="E42" s="12">
        <v>4468</v>
      </c>
      <c r="F42">
        <v>3679</v>
      </c>
      <c r="G42">
        <v>504</v>
      </c>
      <c r="H42" s="1">
        <v>0.13700000000000001</v>
      </c>
      <c r="I42" s="12">
        <v>4687</v>
      </c>
      <c r="J42" s="6">
        <f t="shared" si="0"/>
        <v>4.9015219337511191E-2</v>
      </c>
      <c r="K42" t="s">
        <v>17</v>
      </c>
      <c r="L42" t="s">
        <v>20</v>
      </c>
      <c r="M42" t="s">
        <v>23</v>
      </c>
    </row>
    <row r="43" spans="1:13" x14ac:dyDescent="0.25">
      <c r="A43">
        <v>42</v>
      </c>
      <c r="B43" t="s">
        <v>11</v>
      </c>
      <c r="C43" s="19">
        <v>44249.646585648137</v>
      </c>
      <c r="D43" s="5">
        <v>44331.427071759259</v>
      </c>
      <c r="E43" s="12">
        <v>8650</v>
      </c>
      <c r="F43">
        <v>77723</v>
      </c>
      <c r="G43">
        <v>1309</v>
      </c>
      <c r="H43" s="1">
        <v>1.6799999999999999E-2</v>
      </c>
      <c r="I43" s="12">
        <v>23599</v>
      </c>
      <c r="J43" s="6">
        <f t="shared" si="0"/>
        <v>1.7282080924855492</v>
      </c>
      <c r="K43" t="s">
        <v>16</v>
      </c>
      <c r="L43" t="s">
        <v>20</v>
      </c>
      <c r="M43" t="s">
        <v>22</v>
      </c>
    </row>
    <row r="44" spans="1:13" x14ac:dyDescent="0.25">
      <c r="A44">
        <v>43</v>
      </c>
      <c r="B44" t="s">
        <v>12</v>
      </c>
      <c r="C44" s="19">
        <v>44430.764143518521</v>
      </c>
      <c r="D44" s="5">
        <v>44523.863599537042</v>
      </c>
      <c r="E44" s="12">
        <v>1540</v>
      </c>
      <c r="F44">
        <v>71486</v>
      </c>
      <c r="G44">
        <v>475</v>
      </c>
      <c r="H44" s="1">
        <v>6.6E-3</v>
      </c>
      <c r="I44" s="12">
        <v>1008</v>
      </c>
      <c r="J44" s="6">
        <f t="shared" si="0"/>
        <v>-0.34545454545454546</v>
      </c>
      <c r="K44" t="s">
        <v>18</v>
      </c>
      <c r="L44" t="s">
        <v>20</v>
      </c>
      <c r="M44" t="s">
        <v>24</v>
      </c>
    </row>
    <row r="45" spans="1:13" x14ac:dyDescent="0.25">
      <c r="A45">
        <v>44</v>
      </c>
      <c r="B45" t="s">
        <v>12</v>
      </c>
      <c r="C45" s="19">
        <v>44537.370497685188</v>
      </c>
      <c r="D45" s="5">
        <v>44557.775347222218</v>
      </c>
      <c r="E45" s="12">
        <v>6750</v>
      </c>
      <c r="F45">
        <v>32222</v>
      </c>
      <c r="G45">
        <v>4045</v>
      </c>
      <c r="H45" s="1">
        <v>0.1255</v>
      </c>
      <c r="I45" s="12">
        <v>30995</v>
      </c>
      <c r="J45" s="6">
        <f t="shared" si="0"/>
        <v>3.5918518518518519</v>
      </c>
      <c r="K45" t="s">
        <v>15</v>
      </c>
      <c r="L45" t="s">
        <v>20</v>
      </c>
      <c r="M45" t="s">
        <v>24</v>
      </c>
    </row>
    <row r="46" spans="1:13" x14ac:dyDescent="0.25">
      <c r="A46">
        <v>45</v>
      </c>
      <c r="B46" t="s">
        <v>13</v>
      </c>
      <c r="C46" s="19">
        <v>44524.574282407397</v>
      </c>
      <c r="D46" s="5">
        <v>44531.574282407397</v>
      </c>
      <c r="E46" s="12">
        <v>8856</v>
      </c>
      <c r="F46">
        <v>69201</v>
      </c>
      <c r="G46">
        <v>2850</v>
      </c>
      <c r="H46" s="1">
        <v>4.1200000000000001E-2</v>
      </c>
      <c r="I46" s="12">
        <v>14740</v>
      </c>
      <c r="J46" s="6">
        <f t="shared" si="0"/>
        <v>0.66440831074977413</v>
      </c>
      <c r="K46" t="s">
        <v>14</v>
      </c>
      <c r="L46" t="s">
        <v>20</v>
      </c>
      <c r="M46" t="s">
        <v>25</v>
      </c>
    </row>
    <row r="47" spans="1:13" x14ac:dyDescent="0.25">
      <c r="A47">
        <v>46</v>
      </c>
      <c r="B47" t="s">
        <v>13</v>
      </c>
      <c r="C47" s="19">
        <v>44231.108148148152</v>
      </c>
      <c r="D47" s="5">
        <v>44342.569050925929</v>
      </c>
      <c r="E47" s="12">
        <v>9298</v>
      </c>
      <c r="F47">
        <v>85977</v>
      </c>
      <c r="G47">
        <v>597</v>
      </c>
      <c r="H47" s="1">
        <v>6.8999999999999999E-3</v>
      </c>
      <c r="I47" s="12">
        <v>32369</v>
      </c>
      <c r="J47" s="6">
        <f t="shared" si="0"/>
        <v>2.4812862981286297</v>
      </c>
      <c r="K47" t="s">
        <v>16</v>
      </c>
      <c r="L47" t="s">
        <v>19</v>
      </c>
      <c r="M47" t="s">
        <v>25</v>
      </c>
    </row>
    <row r="48" spans="1:13" x14ac:dyDescent="0.25">
      <c r="A48">
        <v>47</v>
      </c>
      <c r="B48" t="s">
        <v>13</v>
      </c>
      <c r="C48" s="19">
        <v>44508.592256944437</v>
      </c>
      <c r="D48" s="5">
        <v>44515.592256944437</v>
      </c>
      <c r="E48" s="12">
        <v>8204</v>
      </c>
      <c r="F48">
        <v>31857</v>
      </c>
      <c r="G48">
        <v>1538</v>
      </c>
      <c r="H48" s="1">
        <v>4.8300000000000003E-2</v>
      </c>
      <c r="I48" s="12">
        <v>15609</v>
      </c>
      <c r="J48" s="6">
        <f t="shared" si="0"/>
        <v>0.90260848366650415</v>
      </c>
      <c r="K48" t="s">
        <v>15</v>
      </c>
      <c r="L48" t="s">
        <v>19</v>
      </c>
      <c r="M48" t="s">
        <v>25</v>
      </c>
    </row>
    <row r="49" spans="1:13" x14ac:dyDescent="0.25">
      <c r="A49">
        <v>48</v>
      </c>
      <c r="B49" t="s">
        <v>12</v>
      </c>
      <c r="C49" s="19">
        <v>44432.364583333343</v>
      </c>
      <c r="D49" s="5">
        <v>44553.692337962973</v>
      </c>
      <c r="E49" s="12">
        <v>7272</v>
      </c>
      <c r="F49">
        <v>40606</v>
      </c>
      <c r="G49">
        <v>838</v>
      </c>
      <c r="H49" s="1">
        <v>2.06E-2</v>
      </c>
      <c r="I49" s="12">
        <v>20654</v>
      </c>
      <c r="J49" s="6">
        <f t="shared" si="0"/>
        <v>1.8402090209020903</v>
      </c>
      <c r="K49" t="s">
        <v>17</v>
      </c>
      <c r="L49" t="s">
        <v>19</v>
      </c>
      <c r="M49" t="s">
        <v>25</v>
      </c>
    </row>
    <row r="50" spans="1:13" x14ac:dyDescent="0.25">
      <c r="A50">
        <v>49</v>
      </c>
      <c r="B50" t="s">
        <v>11</v>
      </c>
      <c r="C50" s="19">
        <v>44251.756527777783</v>
      </c>
      <c r="D50" s="5">
        <v>44269.65420138889</v>
      </c>
      <c r="E50" s="12">
        <v>5811</v>
      </c>
      <c r="F50">
        <v>1851</v>
      </c>
      <c r="G50">
        <v>1851</v>
      </c>
      <c r="H50" s="1">
        <v>1</v>
      </c>
      <c r="I50" s="12">
        <v>17201</v>
      </c>
      <c r="J50" s="6">
        <f t="shared" si="0"/>
        <v>1.9600757184649802</v>
      </c>
      <c r="K50" t="s">
        <v>14</v>
      </c>
      <c r="L50" t="s">
        <v>19</v>
      </c>
      <c r="M50" t="s">
        <v>21</v>
      </c>
    </row>
    <row r="51" spans="1:13" x14ac:dyDescent="0.25">
      <c r="A51">
        <v>50</v>
      </c>
      <c r="B51" t="s">
        <v>11</v>
      </c>
      <c r="C51" s="19">
        <v>44395.783009259263</v>
      </c>
      <c r="D51" s="5">
        <v>44486.525995370372</v>
      </c>
      <c r="E51" s="12">
        <v>9911</v>
      </c>
      <c r="F51">
        <v>6028</v>
      </c>
      <c r="G51">
        <v>3390</v>
      </c>
      <c r="H51" s="1">
        <v>0.56240000000000001</v>
      </c>
      <c r="I51" s="12">
        <v>13199</v>
      </c>
      <c r="J51" s="6">
        <f t="shared" si="0"/>
        <v>0.33175259812329733</v>
      </c>
      <c r="K51" t="s">
        <v>17</v>
      </c>
      <c r="L51" t="s">
        <v>19</v>
      </c>
      <c r="M51" t="s">
        <v>25</v>
      </c>
    </row>
    <row r="52" spans="1:13" x14ac:dyDescent="0.25">
      <c r="A52">
        <v>51</v>
      </c>
      <c r="B52" t="s">
        <v>13</v>
      </c>
      <c r="C52" s="19">
        <v>44220.975601851853</v>
      </c>
      <c r="D52" s="5">
        <v>44413.379803240743</v>
      </c>
      <c r="E52" s="12">
        <v>9644</v>
      </c>
      <c r="F52">
        <v>21177</v>
      </c>
      <c r="G52">
        <v>2075</v>
      </c>
      <c r="H52" s="1">
        <v>9.8000000000000004E-2</v>
      </c>
      <c r="I52" s="12">
        <v>46900</v>
      </c>
      <c r="J52" s="6">
        <f t="shared" si="0"/>
        <v>3.863127333056823</v>
      </c>
      <c r="K52" t="s">
        <v>18</v>
      </c>
      <c r="L52" t="s">
        <v>20</v>
      </c>
      <c r="M52" t="s">
        <v>22</v>
      </c>
    </row>
    <row r="53" spans="1:13" x14ac:dyDescent="0.25">
      <c r="A53">
        <v>52</v>
      </c>
      <c r="B53" t="s">
        <v>11</v>
      </c>
      <c r="C53" s="19">
        <v>44482.921469907407</v>
      </c>
      <c r="D53" s="5">
        <v>44489.921469907407</v>
      </c>
      <c r="E53" s="12">
        <v>6511</v>
      </c>
      <c r="F53">
        <v>90236</v>
      </c>
      <c r="G53">
        <v>1662</v>
      </c>
      <c r="H53" s="1">
        <v>1.84E-2</v>
      </c>
      <c r="I53" s="12">
        <v>25966</v>
      </c>
      <c r="J53" s="6">
        <f t="shared" si="0"/>
        <v>2.9880202733835048</v>
      </c>
      <c r="K53" t="s">
        <v>15</v>
      </c>
      <c r="L53" t="s">
        <v>19</v>
      </c>
      <c r="M53" t="s">
        <v>21</v>
      </c>
    </row>
    <row r="54" spans="1:13" x14ac:dyDescent="0.25">
      <c r="A54">
        <v>53</v>
      </c>
      <c r="B54" t="s">
        <v>12</v>
      </c>
      <c r="C54" s="19">
        <v>44448.509664351863</v>
      </c>
      <c r="D54" s="5">
        <v>44455.509664351863</v>
      </c>
      <c r="E54" s="12">
        <v>3298</v>
      </c>
      <c r="F54">
        <v>40920</v>
      </c>
      <c r="G54">
        <v>560</v>
      </c>
      <c r="H54" s="1">
        <v>1.37E-2</v>
      </c>
      <c r="I54" s="12">
        <v>15592</v>
      </c>
      <c r="J54" s="6">
        <f t="shared" si="0"/>
        <v>3.7277137659187387</v>
      </c>
      <c r="K54" t="s">
        <v>14</v>
      </c>
      <c r="L54" t="s">
        <v>20</v>
      </c>
      <c r="M54" t="s">
        <v>22</v>
      </c>
    </row>
    <row r="55" spans="1:13" x14ac:dyDescent="0.25">
      <c r="A55">
        <v>54</v>
      </c>
      <c r="B55" t="s">
        <v>12</v>
      </c>
      <c r="C55" s="19">
        <v>44429.187824074077</v>
      </c>
      <c r="D55" s="5">
        <v>44436.187824074077</v>
      </c>
      <c r="E55" s="12">
        <v>8852</v>
      </c>
      <c r="F55">
        <v>91238</v>
      </c>
      <c r="G55">
        <v>3774</v>
      </c>
      <c r="H55" s="1">
        <v>4.1399999999999999E-2</v>
      </c>
      <c r="I55" s="12">
        <v>40070</v>
      </c>
      <c r="J55" s="6">
        <f t="shared" si="0"/>
        <v>3.5266606416629012</v>
      </c>
      <c r="K55" t="s">
        <v>14</v>
      </c>
      <c r="L55" t="s">
        <v>20</v>
      </c>
      <c r="M55" t="s">
        <v>25</v>
      </c>
    </row>
    <row r="56" spans="1:13" x14ac:dyDescent="0.25">
      <c r="A56">
        <v>55</v>
      </c>
      <c r="B56" t="s">
        <v>11</v>
      </c>
      <c r="C56" s="19">
        <v>44360.626388888893</v>
      </c>
      <c r="D56" s="5">
        <v>44367.626388888893</v>
      </c>
      <c r="E56" s="12">
        <v>2695</v>
      </c>
      <c r="F56">
        <v>56082</v>
      </c>
      <c r="G56">
        <v>3223</v>
      </c>
      <c r="H56" s="1">
        <v>5.7500000000000002E-2</v>
      </c>
      <c r="I56" s="12">
        <v>8598</v>
      </c>
      <c r="J56" s="6">
        <f t="shared" si="0"/>
        <v>2.1903525046382191</v>
      </c>
      <c r="K56" t="s">
        <v>17</v>
      </c>
      <c r="L56" t="s">
        <v>19</v>
      </c>
      <c r="M56" t="s">
        <v>24</v>
      </c>
    </row>
    <row r="57" spans="1:13" x14ac:dyDescent="0.25">
      <c r="A57">
        <v>56</v>
      </c>
      <c r="B57" t="s">
        <v>12</v>
      </c>
      <c r="C57" s="19">
        <v>44464.106840277767</v>
      </c>
      <c r="D57" s="5">
        <v>44492.652083333327</v>
      </c>
      <c r="E57" s="12">
        <v>5180</v>
      </c>
      <c r="F57">
        <v>75305</v>
      </c>
      <c r="G57">
        <v>1938</v>
      </c>
      <c r="H57" s="1">
        <v>2.5700000000000001E-2</v>
      </c>
      <c r="I57" s="12">
        <v>24078</v>
      </c>
      <c r="J57" s="6">
        <f t="shared" si="0"/>
        <v>3.6482625482625481</v>
      </c>
      <c r="K57" t="s">
        <v>16</v>
      </c>
      <c r="L57" t="s">
        <v>20</v>
      </c>
      <c r="M57" t="s">
        <v>21</v>
      </c>
    </row>
    <row r="58" spans="1:13" x14ac:dyDescent="0.25">
      <c r="A58">
        <v>57</v>
      </c>
      <c r="B58" t="s">
        <v>12</v>
      </c>
      <c r="C58" s="19">
        <v>44308.255960648137</v>
      </c>
      <c r="D58" s="5">
        <v>44511.298449074071</v>
      </c>
      <c r="E58" s="12">
        <v>7099</v>
      </c>
      <c r="F58">
        <v>23036</v>
      </c>
      <c r="G58">
        <v>1568</v>
      </c>
      <c r="H58" s="1">
        <v>6.8099999999999994E-2</v>
      </c>
      <c r="I58" s="12">
        <v>6376</v>
      </c>
      <c r="J58" s="6">
        <f t="shared" si="0"/>
        <v>-0.10184533032821524</v>
      </c>
      <c r="K58" t="s">
        <v>15</v>
      </c>
      <c r="L58" t="s">
        <v>19</v>
      </c>
      <c r="M58" t="s">
        <v>24</v>
      </c>
    </row>
    <row r="59" spans="1:13" x14ac:dyDescent="0.25">
      <c r="A59">
        <v>58</v>
      </c>
      <c r="B59" t="s">
        <v>12</v>
      </c>
      <c r="C59" s="19">
        <v>44332.191377314812</v>
      </c>
      <c r="D59" s="5">
        <v>44339.191377314812</v>
      </c>
      <c r="E59" s="12">
        <v>9803</v>
      </c>
      <c r="F59">
        <v>39212</v>
      </c>
      <c r="G59">
        <v>4836</v>
      </c>
      <c r="H59" s="1">
        <v>0.12330000000000001</v>
      </c>
      <c r="I59" s="12">
        <v>13546</v>
      </c>
      <c r="J59" s="6">
        <f t="shared" si="0"/>
        <v>0.38182189125777821</v>
      </c>
      <c r="K59" t="s">
        <v>14</v>
      </c>
      <c r="L59" t="s">
        <v>20</v>
      </c>
      <c r="M59" t="s">
        <v>22</v>
      </c>
    </row>
    <row r="60" spans="1:13" x14ac:dyDescent="0.25">
      <c r="A60">
        <v>59</v>
      </c>
      <c r="B60" t="s">
        <v>13</v>
      </c>
      <c r="C60" s="19">
        <v>44246.717187499999</v>
      </c>
      <c r="D60" s="5">
        <v>44340.032465277778</v>
      </c>
      <c r="E60" s="12">
        <v>3585</v>
      </c>
      <c r="F60">
        <v>83032</v>
      </c>
      <c r="G60">
        <v>3566</v>
      </c>
      <c r="H60" s="1">
        <v>4.2900000000000001E-2</v>
      </c>
      <c r="I60" s="12">
        <v>2522</v>
      </c>
      <c r="J60" s="6">
        <f t="shared" si="0"/>
        <v>-0.29651324965132497</v>
      </c>
      <c r="K60" t="s">
        <v>14</v>
      </c>
      <c r="L60" t="s">
        <v>19</v>
      </c>
      <c r="M60" t="s">
        <v>22</v>
      </c>
    </row>
    <row r="61" spans="1:13" x14ac:dyDescent="0.25">
      <c r="A61">
        <v>60</v>
      </c>
      <c r="B61" t="s">
        <v>13</v>
      </c>
      <c r="C61" s="19">
        <v>44200.95653935185</v>
      </c>
      <c r="D61" s="5">
        <v>44430.724999999999</v>
      </c>
      <c r="E61" s="12">
        <v>6213</v>
      </c>
      <c r="F61">
        <v>35735</v>
      </c>
      <c r="G61">
        <v>4143</v>
      </c>
      <c r="H61" s="1">
        <v>0.1159</v>
      </c>
      <c r="I61" s="12">
        <v>12202</v>
      </c>
      <c r="J61" s="6">
        <f t="shared" si="0"/>
        <v>0.9639465636568485</v>
      </c>
      <c r="K61" t="s">
        <v>18</v>
      </c>
      <c r="L61" t="s">
        <v>20</v>
      </c>
      <c r="M61" t="s">
        <v>21</v>
      </c>
    </row>
    <row r="62" spans="1:13" x14ac:dyDescent="0.25">
      <c r="A62">
        <v>61</v>
      </c>
      <c r="B62" t="s">
        <v>11</v>
      </c>
      <c r="C62" s="19">
        <v>44463.966493055559</v>
      </c>
      <c r="D62" s="5">
        <v>44470.966493055559</v>
      </c>
      <c r="E62" s="12">
        <v>5740</v>
      </c>
      <c r="F62">
        <v>83570</v>
      </c>
      <c r="G62">
        <v>4523</v>
      </c>
      <c r="H62" s="1">
        <v>5.4100000000000002E-2</v>
      </c>
      <c r="I62" s="12">
        <v>12909</v>
      </c>
      <c r="J62" s="6">
        <f t="shared" si="0"/>
        <v>1.2489547038327526</v>
      </c>
      <c r="K62" t="s">
        <v>15</v>
      </c>
      <c r="L62" t="s">
        <v>20</v>
      </c>
      <c r="M62" t="s">
        <v>22</v>
      </c>
    </row>
    <row r="63" spans="1:13" x14ac:dyDescent="0.25">
      <c r="A63">
        <v>62</v>
      </c>
      <c r="B63" t="s">
        <v>11</v>
      </c>
      <c r="C63" s="19">
        <v>44260.124918981477</v>
      </c>
      <c r="D63" s="5">
        <v>44408.693738425929</v>
      </c>
      <c r="E63" s="12">
        <v>1232</v>
      </c>
      <c r="F63">
        <v>2384</v>
      </c>
      <c r="G63">
        <v>2384</v>
      </c>
      <c r="H63" s="1">
        <v>1</v>
      </c>
      <c r="I63" s="12">
        <v>2120</v>
      </c>
      <c r="J63" s="6">
        <f t="shared" si="0"/>
        <v>0.72077922077922074</v>
      </c>
      <c r="K63" t="s">
        <v>15</v>
      </c>
      <c r="L63" t="s">
        <v>19</v>
      </c>
      <c r="M63" t="s">
        <v>21</v>
      </c>
    </row>
    <row r="64" spans="1:13" x14ac:dyDescent="0.25">
      <c r="A64">
        <v>63</v>
      </c>
      <c r="B64" t="s">
        <v>11</v>
      </c>
      <c r="C64" s="19">
        <v>44273.437777777777</v>
      </c>
      <c r="D64" s="5">
        <v>44509.02480324074</v>
      </c>
      <c r="E64" s="12">
        <v>5528</v>
      </c>
      <c r="F64">
        <v>80403</v>
      </c>
      <c r="G64">
        <v>3087</v>
      </c>
      <c r="H64" s="1">
        <v>3.8399999999999997E-2</v>
      </c>
      <c r="I64" s="12">
        <v>23379</v>
      </c>
      <c r="J64" s="6">
        <f t="shared" si="0"/>
        <v>3.2291968162083937</v>
      </c>
      <c r="K64" t="s">
        <v>14</v>
      </c>
      <c r="L64" t="s">
        <v>20</v>
      </c>
      <c r="M64" t="s">
        <v>22</v>
      </c>
    </row>
    <row r="65" spans="1:13" x14ac:dyDescent="0.25">
      <c r="A65">
        <v>64</v>
      </c>
      <c r="B65" t="s">
        <v>12</v>
      </c>
      <c r="C65" s="19">
        <v>44230.839317129627</v>
      </c>
      <c r="D65" s="5">
        <v>44483.288495370369</v>
      </c>
      <c r="E65" s="12">
        <v>8973</v>
      </c>
      <c r="F65">
        <v>66599</v>
      </c>
      <c r="G65">
        <v>4790</v>
      </c>
      <c r="H65" s="1">
        <v>7.1900000000000006E-2</v>
      </c>
      <c r="I65" s="12">
        <v>18891</v>
      </c>
      <c r="J65" s="6">
        <f t="shared" si="0"/>
        <v>1.1053159478435306</v>
      </c>
      <c r="K65" t="s">
        <v>15</v>
      </c>
      <c r="L65" t="s">
        <v>19</v>
      </c>
      <c r="M65" t="s">
        <v>24</v>
      </c>
    </row>
    <row r="66" spans="1:13" x14ac:dyDescent="0.25">
      <c r="A66">
        <v>65</v>
      </c>
      <c r="B66" t="s">
        <v>12</v>
      </c>
      <c r="C66" s="19">
        <v>44363.592592592591</v>
      </c>
      <c r="D66" s="5">
        <v>44478.290196759262</v>
      </c>
      <c r="E66" s="12">
        <v>8094</v>
      </c>
      <c r="F66">
        <v>70524</v>
      </c>
      <c r="G66">
        <v>3563</v>
      </c>
      <c r="H66" s="1">
        <v>5.0500000000000003E-2</v>
      </c>
      <c r="I66" s="12">
        <v>14279</v>
      </c>
      <c r="J66" s="6">
        <f t="shared" si="0"/>
        <v>0.76414628119594763</v>
      </c>
      <c r="K66" t="s">
        <v>15</v>
      </c>
      <c r="L66" t="s">
        <v>19</v>
      </c>
      <c r="M66" t="s">
        <v>23</v>
      </c>
    </row>
    <row r="67" spans="1:13" x14ac:dyDescent="0.25">
      <c r="A67">
        <v>66</v>
      </c>
      <c r="B67" t="s">
        <v>13</v>
      </c>
      <c r="C67" s="19">
        <v>44296.788726851853</v>
      </c>
      <c r="D67" s="5">
        <v>44303.788726851853</v>
      </c>
      <c r="E67" s="12">
        <v>5066</v>
      </c>
      <c r="F67">
        <v>52654</v>
      </c>
      <c r="G67">
        <v>3392</v>
      </c>
      <c r="H67" s="1">
        <v>6.4399999999999999E-2</v>
      </c>
      <c r="I67" s="12">
        <v>14904</v>
      </c>
      <c r="J67" s="6">
        <f t="shared" ref="J67:J106" si="1">(I67-E67)/E67</f>
        <v>1.9419660481642322</v>
      </c>
      <c r="K67" t="s">
        <v>14</v>
      </c>
      <c r="L67" t="s">
        <v>20</v>
      </c>
      <c r="M67" t="s">
        <v>25</v>
      </c>
    </row>
    <row r="68" spans="1:13" x14ac:dyDescent="0.25">
      <c r="A68">
        <v>67</v>
      </c>
      <c r="B68" t="s">
        <v>13</v>
      </c>
      <c r="C68" s="19">
        <v>44313.739652777767</v>
      </c>
      <c r="D68" s="5">
        <v>44355.824259259258</v>
      </c>
      <c r="E68" s="12">
        <v>7944</v>
      </c>
      <c r="F68">
        <v>63729</v>
      </c>
      <c r="G68">
        <v>2981</v>
      </c>
      <c r="H68" s="1">
        <v>4.6800000000000001E-2</v>
      </c>
      <c r="I68" s="12">
        <v>9009</v>
      </c>
      <c r="J68" s="6">
        <f t="shared" si="1"/>
        <v>0.13406344410876134</v>
      </c>
      <c r="K68" t="s">
        <v>14</v>
      </c>
      <c r="L68" t="s">
        <v>20</v>
      </c>
      <c r="M68" t="s">
        <v>25</v>
      </c>
    </row>
    <row r="69" spans="1:13" x14ac:dyDescent="0.25">
      <c r="A69">
        <v>68</v>
      </c>
      <c r="B69" t="s">
        <v>11</v>
      </c>
      <c r="C69" s="19">
        <v>44355.748182870368</v>
      </c>
      <c r="D69" s="5">
        <v>44362.748182870368</v>
      </c>
      <c r="E69" s="12">
        <v>3896</v>
      </c>
      <c r="F69">
        <v>53668</v>
      </c>
      <c r="G69">
        <v>3008</v>
      </c>
      <c r="H69" s="1">
        <v>5.6000000000000001E-2</v>
      </c>
      <c r="I69" s="12">
        <v>16012</v>
      </c>
      <c r="J69" s="6">
        <f t="shared" si="1"/>
        <v>3.1098562628336754</v>
      </c>
      <c r="K69" t="s">
        <v>17</v>
      </c>
      <c r="L69" t="s">
        <v>20</v>
      </c>
      <c r="M69" t="s">
        <v>23</v>
      </c>
    </row>
    <row r="70" spans="1:13" x14ac:dyDescent="0.25">
      <c r="A70">
        <v>69</v>
      </c>
      <c r="B70" t="s">
        <v>11</v>
      </c>
      <c r="C70" s="19">
        <v>44206.872002314813</v>
      </c>
      <c r="D70" s="5">
        <v>44248.062037037038</v>
      </c>
      <c r="E70" s="12">
        <v>5847</v>
      </c>
      <c r="F70">
        <v>20055</v>
      </c>
      <c r="G70">
        <v>434</v>
      </c>
      <c r="H70" s="1">
        <v>2.1600000000000001E-2</v>
      </c>
      <c r="I70" s="12">
        <v>4885</v>
      </c>
      <c r="J70" s="6">
        <f t="shared" si="1"/>
        <v>-0.16452881819736617</v>
      </c>
      <c r="K70" t="s">
        <v>17</v>
      </c>
      <c r="L70" t="s">
        <v>19</v>
      </c>
      <c r="M70" t="s">
        <v>23</v>
      </c>
    </row>
    <row r="71" spans="1:13" x14ac:dyDescent="0.25">
      <c r="A71">
        <v>70</v>
      </c>
      <c r="B71" t="s">
        <v>12</v>
      </c>
      <c r="C71" s="19">
        <v>44360.19971064815</v>
      </c>
      <c r="D71" s="5">
        <v>44487.641724537039</v>
      </c>
      <c r="E71" s="12">
        <v>7534</v>
      </c>
      <c r="F71">
        <v>47499</v>
      </c>
      <c r="G71">
        <v>841</v>
      </c>
      <c r="H71" s="1">
        <v>1.77E-2</v>
      </c>
      <c r="I71" s="12">
        <v>37225</v>
      </c>
      <c r="J71" s="6">
        <f t="shared" si="1"/>
        <v>3.9409344305813643</v>
      </c>
      <c r="K71" t="s">
        <v>17</v>
      </c>
      <c r="L71" t="s">
        <v>19</v>
      </c>
      <c r="M71" t="s">
        <v>21</v>
      </c>
    </row>
    <row r="72" spans="1:13" x14ac:dyDescent="0.25">
      <c r="A72">
        <v>71</v>
      </c>
      <c r="B72" t="s">
        <v>13</v>
      </c>
      <c r="C72" s="19">
        <v>44440.012696759259</v>
      </c>
      <c r="D72" s="5">
        <v>44447.012696759259</v>
      </c>
      <c r="E72" s="12">
        <v>1095</v>
      </c>
      <c r="F72">
        <v>92980</v>
      </c>
      <c r="G72">
        <v>1343</v>
      </c>
      <c r="H72" s="1">
        <v>1.44E-2</v>
      </c>
      <c r="I72" s="12">
        <v>4352</v>
      </c>
      <c r="J72" s="6">
        <f t="shared" si="1"/>
        <v>2.9744292237442922</v>
      </c>
      <c r="K72" t="s">
        <v>17</v>
      </c>
      <c r="L72" t="s">
        <v>20</v>
      </c>
      <c r="M72" t="s">
        <v>22</v>
      </c>
    </row>
    <row r="73" spans="1:13" x14ac:dyDescent="0.25">
      <c r="A73">
        <v>72</v>
      </c>
      <c r="B73" t="s">
        <v>13</v>
      </c>
      <c r="C73" s="19">
        <v>44203.228148148148</v>
      </c>
      <c r="D73" s="5">
        <v>44406.326041666667</v>
      </c>
      <c r="E73" s="12">
        <v>1147</v>
      </c>
      <c r="F73">
        <v>88314</v>
      </c>
      <c r="G73">
        <v>200</v>
      </c>
      <c r="H73" s="1">
        <v>2.3E-3</v>
      </c>
      <c r="I73" s="12">
        <v>1599</v>
      </c>
      <c r="J73" s="6">
        <f t="shared" si="1"/>
        <v>0.39407149084568438</v>
      </c>
      <c r="K73" t="s">
        <v>15</v>
      </c>
      <c r="L73" t="s">
        <v>19</v>
      </c>
      <c r="M73" t="s">
        <v>24</v>
      </c>
    </row>
    <row r="74" spans="1:13" x14ac:dyDescent="0.25">
      <c r="A74">
        <v>73</v>
      </c>
      <c r="B74" t="s">
        <v>12</v>
      </c>
      <c r="C74" s="19">
        <v>44274.396874999999</v>
      </c>
      <c r="D74" s="5">
        <v>44347.335312499999</v>
      </c>
      <c r="E74" s="12">
        <v>1073</v>
      </c>
      <c r="F74">
        <v>37209</v>
      </c>
      <c r="G74">
        <v>2563</v>
      </c>
      <c r="H74" s="1">
        <v>6.8900000000000003E-2</v>
      </c>
      <c r="I74" s="12">
        <v>563</v>
      </c>
      <c r="J74" s="6">
        <f t="shared" si="1"/>
        <v>-0.47530288909599255</v>
      </c>
      <c r="K74" t="s">
        <v>18</v>
      </c>
      <c r="L74" t="s">
        <v>20</v>
      </c>
      <c r="M74" t="s">
        <v>25</v>
      </c>
    </row>
    <row r="75" spans="1:13" x14ac:dyDescent="0.25">
      <c r="A75">
        <v>74</v>
      </c>
      <c r="B75" t="s">
        <v>11</v>
      </c>
      <c r="C75" s="19">
        <v>44346.581412037027</v>
      </c>
      <c r="D75" s="5">
        <v>44353.581412037027</v>
      </c>
      <c r="E75" s="12">
        <v>7297</v>
      </c>
      <c r="F75">
        <v>9010</v>
      </c>
      <c r="G75">
        <v>2369</v>
      </c>
      <c r="H75" s="1">
        <v>0.26290000000000002</v>
      </c>
      <c r="I75" s="12">
        <v>30425</v>
      </c>
      <c r="J75" s="6">
        <f t="shared" si="1"/>
        <v>3.1695217212553106</v>
      </c>
      <c r="K75" t="s">
        <v>14</v>
      </c>
      <c r="L75" t="s">
        <v>19</v>
      </c>
      <c r="M75" t="s">
        <v>23</v>
      </c>
    </row>
    <row r="76" spans="1:13" x14ac:dyDescent="0.25">
      <c r="A76">
        <v>75</v>
      </c>
      <c r="B76" t="s">
        <v>13</v>
      </c>
      <c r="C76" s="19">
        <v>44548.834340277783</v>
      </c>
      <c r="D76" s="5">
        <v>44555.834340277783</v>
      </c>
      <c r="E76" s="12">
        <v>6137</v>
      </c>
      <c r="F76">
        <v>60618</v>
      </c>
      <c r="G76">
        <v>274</v>
      </c>
      <c r="H76" s="1">
        <v>4.4999999999999997E-3</v>
      </c>
      <c r="I76" s="12">
        <v>22589</v>
      </c>
      <c r="J76" s="6">
        <f t="shared" si="1"/>
        <v>2.6807886589538863</v>
      </c>
      <c r="K76" t="s">
        <v>14</v>
      </c>
      <c r="L76" t="s">
        <v>20</v>
      </c>
      <c r="M76" t="s">
        <v>23</v>
      </c>
    </row>
    <row r="77" spans="1:13" x14ac:dyDescent="0.25">
      <c r="A77">
        <v>76</v>
      </c>
      <c r="B77" t="s">
        <v>13</v>
      </c>
      <c r="C77" s="19">
        <v>44273.564467592587</v>
      </c>
      <c r="D77" s="5">
        <v>44280.564467592587</v>
      </c>
      <c r="E77" s="12">
        <v>8948</v>
      </c>
      <c r="F77">
        <v>80073</v>
      </c>
      <c r="G77">
        <v>705</v>
      </c>
      <c r="H77" s="1">
        <v>8.8000000000000005E-3</v>
      </c>
      <c r="I77" s="12">
        <v>33828</v>
      </c>
      <c r="J77" s="6">
        <f t="shared" si="1"/>
        <v>2.7805096110862761</v>
      </c>
      <c r="K77" t="s">
        <v>16</v>
      </c>
      <c r="L77" t="s">
        <v>19</v>
      </c>
      <c r="M77" t="s">
        <v>23</v>
      </c>
    </row>
    <row r="78" spans="1:13" x14ac:dyDescent="0.25">
      <c r="A78">
        <v>77</v>
      </c>
      <c r="B78" t="s">
        <v>13</v>
      </c>
      <c r="C78" s="19">
        <v>44469.570023148153</v>
      </c>
      <c r="D78" s="5">
        <v>44476.570023148153</v>
      </c>
      <c r="E78" s="12">
        <v>5759</v>
      </c>
      <c r="F78">
        <v>52115</v>
      </c>
      <c r="G78">
        <v>3845</v>
      </c>
      <c r="H78" s="1">
        <v>7.3800000000000004E-2</v>
      </c>
      <c r="I78" s="12">
        <v>22867</v>
      </c>
      <c r="J78" s="6">
        <f t="shared" si="1"/>
        <v>2.9706546275395036</v>
      </c>
      <c r="K78" t="s">
        <v>18</v>
      </c>
      <c r="L78" t="s">
        <v>20</v>
      </c>
      <c r="M78" t="s">
        <v>22</v>
      </c>
    </row>
    <row r="79" spans="1:13" x14ac:dyDescent="0.25">
      <c r="A79">
        <v>78</v>
      </c>
      <c r="B79" t="s">
        <v>13</v>
      </c>
      <c r="C79" s="19">
        <v>44206.966331018521</v>
      </c>
      <c r="D79" s="5">
        <v>44404.439606481479</v>
      </c>
      <c r="E79" s="12">
        <v>9720</v>
      </c>
      <c r="F79">
        <v>72299</v>
      </c>
      <c r="G79">
        <v>4976</v>
      </c>
      <c r="H79" s="1">
        <v>6.88E-2</v>
      </c>
      <c r="I79" s="12">
        <v>8098</v>
      </c>
      <c r="J79" s="6">
        <f t="shared" si="1"/>
        <v>-0.1668724279835391</v>
      </c>
      <c r="K79" t="s">
        <v>18</v>
      </c>
      <c r="L79" t="s">
        <v>20</v>
      </c>
      <c r="M79" t="s">
        <v>24</v>
      </c>
    </row>
    <row r="80" spans="1:13" x14ac:dyDescent="0.25">
      <c r="A80">
        <v>79</v>
      </c>
      <c r="B80" t="s">
        <v>13</v>
      </c>
      <c r="C80" s="19">
        <v>44278.897719907407</v>
      </c>
      <c r="D80" s="5">
        <v>44489.526701388888</v>
      </c>
      <c r="E80" s="12">
        <v>7067</v>
      </c>
      <c r="F80">
        <v>20340</v>
      </c>
      <c r="G80">
        <v>3908</v>
      </c>
      <c r="H80" s="1">
        <v>0.19209999999999999</v>
      </c>
      <c r="I80" s="12">
        <v>14933</v>
      </c>
      <c r="J80" s="6">
        <f t="shared" si="1"/>
        <v>1.1130607046837413</v>
      </c>
      <c r="K80" t="s">
        <v>14</v>
      </c>
      <c r="L80" t="s">
        <v>19</v>
      </c>
      <c r="M80" t="s">
        <v>23</v>
      </c>
    </row>
    <row r="81" spans="1:13" x14ac:dyDescent="0.25">
      <c r="A81">
        <v>80</v>
      </c>
      <c r="B81" t="s">
        <v>12</v>
      </c>
      <c r="C81" s="19">
        <v>44444.165393518517</v>
      </c>
      <c r="D81" s="5">
        <v>44451.165393518517</v>
      </c>
      <c r="E81" s="12">
        <v>4944</v>
      </c>
      <c r="F81">
        <v>73932</v>
      </c>
      <c r="G81">
        <v>1869</v>
      </c>
      <c r="H81" s="1">
        <v>2.53E-2</v>
      </c>
      <c r="I81" s="12">
        <v>5049</v>
      </c>
      <c r="J81" s="6">
        <f t="shared" si="1"/>
        <v>2.1237864077669904E-2</v>
      </c>
      <c r="K81" t="s">
        <v>18</v>
      </c>
      <c r="L81" t="s">
        <v>19</v>
      </c>
      <c r="M81" t="s">
        <v>24</v>
      </c>
    </row>
    <row r="82" spans="1:13" x14ac:dyDescent="0.25">
      <c r="A82">
        <v>81</v>
      </c>
      <c r="B82" t="s">
        <v>12</v>
      </c>
      <c r="C82" s="19">
        <v>44400.884108796286</v>
      </c>
      <c r="D82" s="5">
        <v>44481.71875</v>
      </c>
      <c r="E82" s="12">
        <v>3489</v>
      </c>
      <c r="F82">
        <v>54121</v>
      </c>
      <c r="G82">
        <v>948</v>
      </c>
      <c r="H82" s="1">
        <v>1.7500000000000002E-2</v>
      </c>
      <c r="I82" s="12">
        <v>15295</v>
      </c>
      <c r="J82" s="6">
        <f t="shared" si="1"/>
        <v>3.3837775867010604</v>
      </c>
      <c r="K82" t="s">
        <v>16</v>
      </c>
      <c r="L82" t="s">
        <v>20</v>
      </c>
      <c r="M82" t="s">
        <v>25</v>
      </c>
    </row>
    <row r="83" spans="1:13" x14ac:dyDescent="0.25">
      <c r="A83">
        <v>82</v>
      </c>
      <c r="B83" t="s">
        <v>12</v>
      </c>
      <c r="C83" s="19">
        <v>44254.487986111111</v>
      </c>
      <c r="D83" s="5">
        <v>44329.252013888887</v>
      </c>
      <c r="E83" s="12">
        <v>1086</v>
      </c>
      <c r="F83">
        <v>15705</v>
      </c>
      <c r="G83">
        <v>1190</v>
      </c>
      <c r="H83" s="1">
        <v>7.5800000000000006E-2</v>
      </c>
      <c r="I83" s="12">
        <v>3589</v>
      </c>
      <c r="J83" s="6">
        <f t="shared" si="1"/>
        <v>2.3047882136279925</v>
      </c>
      <c r="K83" t="s">
        <v>15</v>
      </c>
      <c r="L83" t="s">
        <v>19</v>
      </c>
      <c r="M83" t="s">
        <v>21</v>
      </c>
    </row>
    <row r="84" spans="1:13" x14ac:dyDescent="0.25">
      <c r="A84">
        <v>83</v>
      </c>
      <c r="B84" t="s">
        <v>11</v>
      </c>
      <c r="C84" s="19">
        <v>44206.470104166663</v>
      </c>
      <c r="D84" s="5">
        <v>44549.699930555558</v>
      </c>
      <c r="E84" s="12">
        <v>5602</v>
      </c>
      <c r="F84">
        <v>57448</v>
      </c>
      <c r="G84">
        <v>2273</v>
      </c>
      <c r="H84" s="1">
        <v>3.9600000000000003E-2</v>
      </c>
      <c r="I84" s="12">
        <v>11142</v>
      </c>
      <c r="J84" s="6">
        <f t="shared" si="1"/>
        <v>0.98893252409853627</v>
      </c>
      <c r="K84" t="s">
        <v>17</v>
      </c>
      <c r="L84" t="s">
        <v>20</v>
      </c>
      <c r="M84" t="s">
        <v>21</v>
      </c>
    </row>
    <row r="85" spans="1:13" x14ac:dyDescent="0.25">
      <c r="A85">
        <v>84</v>
      </c>
      <c r="B85" t="s">
        <v>13</v>
      </c>
      <c r="C85" s="19">
        <v>44477.067418981482</v>
      </c>
      <c r="D85" s="5">
        <v>44484.067418981482</v>
      </c>
      <c r="E85" s="12">
        <v>8101</v>
      </c>
      <c r="F85">
        <v>87823</v>
      </c>
      <c r="G85">
        <v>1262</v>
      </c>
      <c r="H85" s="1">
        <v>1.44E-2</v>
      </c>
      <c r="I85" s="12">
        <v>6367</v>
      </c>
      <c r="J85" s="6">
        <f t="shared" si="1"/>
        <v>-0.21404764843846438</v>
      </c>
      <c r="K85" t="s">
        <v>16</v>
      </c>
      <c r="L85" t="s">
        <v>20</v>
      </c>
      <c r="M85" t="s">
        <v>25</v>
      </c>
    </row>
    <row r="86" spans="1:13" x14ac:dyDescent="0.25">
      <c r="A86">
        <v>85</v>
      </c>
      <c r="B86" t="s">
        <v>12</v>
      </c>
      <c r="C86" s="19">
        <v>44409.812847222223</v>
      </c>
      <c r="D86" s="5">
        <v>44498.689386574071</v>
      </c>
      <c r="E86" s="12">
        <v>1239</v>
      </c>
      <c r="F86">
        <v>26274</v>
      </c>
      <c r="G86">
        <v>4820</v>
      </c>
      <c r="H86" s="1">
        <v>0.1835</v>
      </c>
      <c r="I86" s="12">
        <v>2353</v>
      </c>
      <c r="J86" s="6">
        <f t="shared" si="1"/>
        <v>0.89911218724778041</v>
      </c>
      <c r="K86" t="s">
        <v>17</v>
      </c>
      <c r="L86" t="s">
        <v>19</v>
      </c>
      <c r="M86" t="s">
        <v>21</v>
      </c>
    </row>
    <row r="87" spans="1:13" x14ac:dyDescent="0.25">
      <c r="A87">
        <v>86</v>
      </c>
      <c r="B87" t="s">
        <v>13</v>
      </c>
      <c r="C87" s="19">
        <v>44273.762685185182</v>
      </c>
      <c r="D87" s="5">
        <v>44363.423831018517</v>
      </c>
      <c r="E87" s="12">
        <v>5382</v>
      </c>
      <c r="F87">
        <v>83212</v>
      </c>
      <c r="G87">
        <v>1279</v>
      </c>
      <c r="H87" s="1">
        <v>1.54E-2</v>
      </c>
      <c r="I87" s="12">
        <v>10566</v>
      </c>
      <c r="J87" s="6">
        <f t="shared" si="1"/>
        <v>0.96321070234113715</v>
      </c>
      <c r="K87" t="s">
        <v>14</v>
      </c>
      <c r="L87" t="s">
        <v>20</v>
      </c>
      <c r="M87" t="s">
        <v>23</v>
      </c>
    </row>
    <row r="88" spans="1:13" x14ac:dyDescent="0.25">
      <c r="A88">
        <v>87</v>
      </c>
      <c r="B88" t="s">
        <v>13</v>
      </c>
      <c r="C88" s="19">
        <v>44515.373356481483</v>
      </c>
      <c r="D88" s="5">
        <v>44534.92355324074</v>
      </c>
      <c r="E88" s="12">
        <v>5910</v>
      </c>
      <c r="F88">
        <v>32075</v>
      </c>
      <c r="G88">
        <v>796</v>
      </c>
      <c r="H88" s="1">
        <v>2.4799999999999999E-2</v>
      </c>
      <c r="I88" s="12">
        <v>22358</v>
      </c>
      <c r="J88" s="6">
        <f t="shared" si="1"/>
        <v>2.7830795262267345</v>
      </c>
      <c r="K88" t="s">
        <v>15</v>
      </c>
      <c r="L88" t="s">
        <v>19</v>
      </c>
      <c r="M88" t="s">
        <v>22</v>
      </c>
    </row>
    <row r="89" spans="1:13" x14ac:dyDescent="0.25">
      <c r="A89">
        <v>88</v>
      </c>
      <c r="B89" t="s">
        <v>13</v>
      </c>
      <c r="C89" s="19">
        <v>44522.559444444443</v>
      </c>
      <c r="D89" s="5">
        <v>44529.559444444443</v>
      </c>
      <c r="E89" s="12">
        <v>937</v>
      </c>
      <c r="F89">
        <v>54251</v>
      </c>
      <c r="G89">
        <v>4517</v>
      </c>
      <c r="H89" s="1">
        <v>8.3299999999999999E-2</v>
      </c>
      <c r="I89" s="12">
        <v>3156</v>
      </c>
      <c r="J89" s="6">
        <f t="shared" si="1"/>
        <v>2.3681963713980791</v>
      </c>
      <c r="K89" t="s">
        <v>16</v>
      </c>
      <c r="L89" t="s">
        <v>20</v>
      </c>
      <c r="M89" t="s">
        <v>21</v>
      </c>
    </row>
    <row r="90" spans="1:13" x14ac:dyDescent="0.25">
      <c r="A90">
        <v>89</v>
      </c>
      <c r="B90" t="s">
        <v>13</v>
      </c>
      <c r="C90" s="19">
        <v>44467.852476851847</v>
      </c>
      <c r="D90" s="5">
        <v>44474.852476851847</v>
      </c>
      <c r="E90" s="12">
        <v>4398</v>
      </c>
      <c r="F90">
        <v>71882</v>
      </c>
      <c r="G90">
        <v>2596</v>
      </c>
      <c r="H90" s="1">
        <v>3.61E-2</v>
      </c>
      <c r="I90" s="12">
        <v>19757</v>
      </c>
      <c r="J90" s="6">
        <f t="shared" si="1"/>
        <v>3.4922692132787629</v>
      </c>
      <c r="K90" t="s">
        <v>18</v>
      </c>
      <c r="L90" t="s">
        <v>19</v>
      </c>
      <c r="M90" t="s">
        <v>25</v>
      </c>
    </row>
    <row r="91" spans="1:13" x14ac:dyDescent="0.25">
      <c r="A91">
        <v>90</v>
      </c>
      <c r="B91" t="s">
        <v>11</v>
      </c>
      <c r="C91" s="19">
        <v>44540.878958333327</v>
      </c>
      <c r="D91" s="5">
        <v>44547.878958333327</v>
      </c>
      <c r="E91" s="12">
        <v>2347</v>
      </c>
      <c r="F91">
        <v>24417</v>
      </c>
      <c r="G91">
        <v>2857</v>
      </c>
      <c r="H91" s="1">
        <v>0.11700000000000001</v>
      </c>
      <c r="I91" s="12">
        <v>6160</v>
      </c>
      <c r="J91" s="6">
        <f t="shared" si="1"/>
        <v>1.6246271836386876</v>
      </c>
      <c r="K91" t="s">
        <v>15</v>
      </c>
      <c r="L91" t="s">
        <v>20</v>
      </c>
      <c r="M91" t="s">
        <v>22</v>
      </c>
    </row>
    <row r="92" spans="1:13" x14ac:dyDescent="0.25">
      <c r="A92">
        <v>91</v>
      </c>
      <c r="B92" t="s">
        <v>12</v>
      </c>
      <c r="C92" s="19">
        <v>44554.70275462963</v>
      </c>
      <c r="D92" s="5">
        <v>44561.70275462963</v>
      </c>
      <c r="E92" s="12">
        <v>1520</v>
      </c>
      <c r="F92">
        <v>97700</v>
      </c>
      <c r="G92">
        <v>4028</v>
      </c>
      <c r="H92" s="1">
        <v>4.1200000000000001E-2</v>
      </c>
      <c r="I92" s="12">
        <v>1578</v>
      </c>
      <c r="J92" s="6">
        <f t="shared" si="1"/>
        <v>3.8157894736842106E-2</v>
      </c>
      <c r="K92" t="s">
        <v>16</v>
      </c>
      <c r="L92" t="s">
        <v>19</v>
      </c>
      <c r="M92" t="s">
        <v>25</v>
      </c>
    </row>
    <row r="93" spans="1:13" x14ac:dyDescent="0.25">
      <c r="A93">
        <v>92</v>
      </c>
      <c r="B93" t="s">
        <v>12</v>
      </c>
      <c r="C93" s="19">
        <v>44492.601331018523</v>
      </c>
      <c r="D93" s="5">
        <v>44499.601331018523</v>
      </c>
      <c r="E93" s="12">
        <v>7430</v>
      </c>
      <c r="F93">
        <v>14729</v>
      </c>
      <c r="G93">
        <v>4147</v>
      </c>
      <c r="H93" s="1">
        <v>0.28160000000000002</v>
      </c>
      <c r="I93" s="12">
        <v>27562</v>
      </c>
      <c r="J93" s="6">
        <f t="shared" si="1"/>
        <v>2.7095558546433378</v>
      </c>
      <c r="K93" t="s">
        <v>15</v>
      </c>
      <c r="L93" t="s">
        <v>20</v>
      </c>
      <c r="M93" t="s">
        <v>23</v>
      </c>
    </row>
    <row r="94" spans="1:13" x14ac:dyDescent="0.25">
      <c r="A94">
        <v>93</v>
      </c>
      <c r="B94" t="s">
        <v>11</v>
      </c>
      <c r="C94" s="19">
        <v>44240.643657407411</v>
      </c>
      <c r="D94" s="5">
        <v>44247.643657407411</v>
      </c>
      <c r="E94" s="12">
        <v>1441</v>
      </c>
      <c r="F94">
        <v>24836</v>
      </c>
      <c r="G94">
        <v>2151</v>
      </c>
      <c r="H94" s="1">
        <v>8.6599999999999996E-2</v>
      </c>
      <c r="I94" s="12">
        <v>5653</v>
      </c>
      <c r="J94" s="6">
        <f t="shared" si="1"/>
        <v>2.9229701596113808</v>
      </c>
      <c r="K94" t="s">
        <v>14</v>
      </c>
      <c r="L94" t="s">
        <v>19</v>
      </c>
      <c r="M94" t="s">
        <v>25</v>
      </c>
    </row>
    <row r="95" spans="1:13" x14ac:dyDescent="0.25">
      <c r="A95">
        <v>94</v>
      </c>
      <c r="B95" t="s">
        <v>13</v>
      </c>
      <c r="C95" s="19">
        <v>44327.270520833343</v>
      </c>
      <c r="D95" s="5">
        <v>44430.413680555554</v>
      </c>
      <c r="E95" s="12">
        <v>9141</v>
      </c>
      <c r="F95">
        <v>57132</v>
      </c>
      <c r="G95">
        <v>3410</v>
      </c>
      <c r="H95" s="1">
        <v>5.9700000000000003E-2</v>
      </c>
      <c r="I95" s="12">
        <v>27658</v>
      </c>
      <c r="J95" s="6">
        <f t="shared" si="1"/>
        <v>2.0257083470079862</v>
      </c>
      <c r="K95" t="s">
        <v>18</v>
      </c>
      <c r="L95" t="s">
        <v>19</v>
      </c>
      <c r="M95" t="s">
        <v>23</v>
      </c>
    </row>
    <row r="96" spans="1:13" x14ac:dyDescent="0.25">
      <c r="A96">
        <v>95</v>
      </c>
      <c r="B96" t="s">
        <v>13</v>
      </c>
      <c r="C96" s="19">
        <v>44486.152870370373</v>
      </c>
      <c r="D96" s="5">
        <v>44492.355520833327</v>
      </c>
      <c r="E96" s="12">
        <v>6110</v>
      </c>
      <c r="F96">
        <v>70658</v>
      </c>
      <c r="G96">
        <v>1847</v>
      </c>
      <c r="H96" s="1">
        <v>2.6100000000000002E-2</v>
      </c>
      <c r="I96" s="12">
        <v>24252</v>
      </c>
      <c r="J96" s="6">
        <f t="shared" si="1"/>
        <v>2.9692307692307693</v>
      </c>
      <c r="K96" t="s">
        <v>17</v>
      </c>
      <c r="L96" t="s">
        <v>20</v>
      </c>
      <c r="M96" t="s">
        <v>21</v>
      </c>
    </row>
    <row r="97" spans="1:13" x14ac:dyDescent="0.25">
      <c r="A97">
        <v>96</v>
      </c>
      <c r="B97" t="s">
        <v>11</v>
      </c>
      <c r="C97" s="19">
        <v>44550.857800925929</v>
      </c>
      <c r="D97" s="5">
        <v>44557.857800925929</v>
      </c>
      <c r="E97" s="12">
        <v>9508</v>
      </c>
      <c r="F97">
        <v>67272</v>
      </c>
      <c r="G97">
        <v>3004</v>
      </c>
      <c r="H97" s="1">
        <v>4.4699999999999997E-2</v>
      </c>
      <c r="I97" s="12">
        <v>25881</v>
      </c>
      <c r="J97" s="6">
        <f t="shared" si="1"/>
        <v>1.7220235591081194</v>
      </c>
      <c r="K97" t="s">
        <v>17</v>
      </c>
      <c r="L97" t="s">
        <v>19</v>
      </c>
      <c r="M97" t="s">
        <v>22</v>
      </c>
    </row>
    <row r="98" spans="1:13" x14ac:dyDescent="0.25">
      <c r="A98">
        <v>97</v>
      </c>
      <c r="B98" t="s">
        <v>11</v>
      </c>
      <c r="C98" s="19">
        <v>44227.436643518522</v>
      </c>
      <c r="D98" s="5">
        <v>44237.713726851849</v>
      </c>
      <c r="E98" s="12">
        <v>2607</v>
      </c>
      <c r="F98">
        <v>27872</v>
      </c>
      <c r="G98">
        <v>1002</v>
      </c>
      <c r="H98" s="1">
        <v>3.5999999999999997E-2</v>
      </c>
      <c r="I98" s="12">
        <v>7435</v>
      </c>
      <c r="J98" s="6">
        <f t="shared" si="1"/>
        <v>1.8519370924434215</v>
      </c>
      <c r="K98" t="s">
        <v>17</v>
      </c>
      <c r="L98" t="s">
        <v>20</v>
      </c>
      <c r="M98" t="s">
        <v>24</v>
      </c>
    </row>
    <row r="99" spans="1:13" x14ac:dyDescent="0.25">
      <c r="A99">
        <v>98</v>
      </c>
      <c r="B99" t="s">
        <v>11</v>
      </c>
      <c r="C99" s="19">
        <v>44556.227905092594</v>
      </c>
      <c r="D99" s="5">
        <v>44563.227905092594</v>
      </c>
      <c r="E99" s="12">
        <v>4759</v>
      </c>
      <c r="F99">
        <v>84891</v>
      </c>
      <c r="G99">
        <v>3968</v>
      </c>
      <c r="H99" s="1">
        <v>4.6699999999999998E-2</v>
      </c>
      <c r="I99" s="12">
        <v>11535</v>
      </c>
      <c r="J99" s="6">
        <f t="shared" si="1"/>
        <v>1.423828535406598</v>
      </c>
      <c r="K99" t="s">
        <v>16</v>
      </c>
      <c r="L99" t="s">
        <v>20</v>
      </c>
      <c r="M99" t="s">
        <v>22</v>
      </c>
    </row>
    <row r="100" spans="1:13" x14ac:dyDescent="0.25">
      <c r="A100">
        <v>99</v>
      </c>
      <c r="B100" t="s">
        <v>12</v>
      </c>
      <c r="C100" s="19">
        <v>44375.985000000001</v>
      </c>
      <c r="D100" s="5">
        <v>44523.37972222222</v>
      </c>
      <c r="E100" s="12">
        <v>1445</v>
      </c>
      <c r="F100">
        <v>12465</v>
      </c>
      <c r="G100">
        <v>4823</v>
      </c>
      <c r="H100" s="1">
        <v>0.38690000000000002</v>
      </c>
      <c r="I100" s="12">
        <v>887</v>
      </c>
      <c r="J100" s="6">
        <f t="shared" si="1"/>
        <v>-0.38615916955017299</v>
      </c>
      <c r="K100" t="s">
        <v>15</v>
      </c>
      <c r="L100" t="s">
        <v>19</v>
      </c>
      <c r="M100" t="s">
        <v>24</v>
      </c>
    </row>
    <row r="101" spans="1:13" x14ac:dyDescent="0.25">
      <c r="A101">
        <v>100</v>
      </c>
      <c r="B101" t="s">
        <v>13</v>
      </c>
      <c r="C101" s="19">
        <v>44500.56527777778</v>
      </c>
      <c r="D101" s="5">
        <v>44507.56527777778</v>
      </c>
      <c r="E101" s="12">
        <v>8893</v>
      </c>
      <c r="F101">
        <v>80285</v>
      </c>
      <c r="G101">
        <v>704</v>
      </c>
      <c r="H101" s="1">
        <v>8.8000000000000005E-3</v>
      </c>
      <c r="I101" s="12">
        <v>8764</v>
      </c>
      <c r="J101" s="6">
        <f t="shared" si="1"/>
        <v>-1.4505791071629371E-2</v>
      </c>
      <c r="K101" t="s">
        <v>18</v>
      </c>
      <c r="L101" t="s">
        <v>19</v>
      </c>
      <c r="M101" t="s">
        <v>21</v>
      </c>
    </row>
    <row r="102" spans="1:13" x14ac:dyDescent="0.25">
      <c r="A102">
        <v>101</v>
      </c>
      <c r="B102" t="s">
        <v>13</v>
      </c>
      <c r="C102" s="19">
        <v>45296</v>
      </c>
      <c r="D102" s="5">
        <v>45332</v>
      </c>
      <c r="E102" s="12">
        <v>3657</v>
      </c>
      <c r="F102">
        <v>28047</v>
      </c>
      <c r="G102">
        <v>4302</v>
      </c>
      <c r="H102" s="1">
        <v>0.15340000000000001</v>
      </c>
      <c r="I102" s="12">
        <v>2345</v>
      </c>
      <c r="J102" s="6">
        <f t="shared" si="1"/>
        <v>-0.35876401421930543</v>
      </c>
      <c r="K102" t="s">
        <v>15</v>
      </c>
      <c r="L102" t="s">
        <v>20</v>
      </c>
      <c r="M102" t="s">
        <v>22</v>
      </c>
    </row>
    <row r="103" spans="1:13" x14ac:dyDescent="0.25">
      <c r="A103">
        <v>102</v>
      </c>
      <c r="B103" t="s">
        <v>13</v>
      </c>
      <c r="C103" s="19">
        <v>45314</v>
      </c>
      <c r="D103" s="5">
        <v>45350</v>
      </c>
      <c r="E103" s="12">
        <v>6415</v>
      </c>
      <c r="F103">
        <v>36105</v>
      </c>
      <c r="G103">
        <v>3237</v>
      </c>
      <c r="H103" s="1">
        <v>8.9700000000000002E-2</v>
      </c>
      <c r="I103" s="12">
        <v>21579</v>
      </c>
      <c r="J103" s="6">
        <f t="shared" si="1"/>
        <v>2.3638347622759159</v>
      </c>
      <c r="K103" t="s">
        <v>18</v>
      </c>
      <c r="L103" t="s">
        <v>19</v>
      </c>
      <c r="M103" t="s">
        <v>23</v>
      </c>
    </row>
    <row r="104" spans="1:13" x14ac:dyDescent="0.25">
      <c r="A104">
        <v>103</v>
      </c>
      <c r="B104" t="s">
        <v>11</v>
      </c>
      <c r="C104" s="19">
        <v>45298</v>
      </c>
      <c r="D104" s="5">
        <v>45325</v>
      </c>
      <c r="E104" s="12">
        <v>3193</v>
      </c>
      <c r="F104">
        <v>85766</v>
      </c>
      <c r="G104">
        <v>8392</v>
      </c>
      <c r="H104" s="1">
        <v>9.7799999999999998E-2</v>
      </c>
      <c r="I104" s="12">
        <v>6113</v>
      </c>
      <c r="J104" s="6">
        <f t="shared" si="1"/>
        <v>0.91450046977763855</v>
      </c>
      <c r="K104" t="s">
        <v>18</v>
      </c>
      <c r="L104" t="s">
        <v>20</v>
      </c>
      <c r="M104" t="s">
        <v>22</v>
      </c>
    </row>
    <row r="105" spans="1:13" x14ac:dyDescent="0.25">
      <c r="A105">
        <v>104</v>
      </c>
      <c r="B105" t="s">
        <v>11</v>
      </c>
      <c r="C105" s="19">
        <v>45304</v>
      </c>
      <c r="D105" s="5">
        <v>45334</v>
      </c>
      <c r="E105" s="12">
        <v>4127</v>
      </c>
      <c r="F105">
        <v>25707</v>
      </c>
      <c r="G105">
        <v>6504</v>
      </c>
      <c r="H105" s="1">
        <v>0.253</v>
      </c>
      <c r="I105" s="12">
        <v>11508</v>
      </c>
      <c r="J105" s="6">
        <f t="shared" si="1"/>
        <v>1.7884661982069299</v>
      </c>
      <c r="K105" t="s">
        <v>15</v>
      </c>
      <c r="L105" t="s">
        <v>19</v>
      </c>
      <c r="M105" t="s">
        <v>23</v>
      </c>
    </row>
    <row r="106" spans="1:13" x14ac:dyDescent="0.25">
      <c r="A106">
        <v>105</v>
      </c>
      <c r="B106" t="s">
        <v>12</v>
      </c>
      <c r="C106" s="19">
        <v>45306</v>
      </c>
      <c r="D106" s="5">
        <v>45328</v>
      </c>
      <c r="E106" s="12">
        <v>5950</v>
      </c>
      <c r="F106">
        <v>31976</v>
      </c>
      <c r="G106">
        <v>6496</v>
      </c>
      <c r="H106" s="1">
        <v>0.20319999999999999</v>
      </c>
      <c r="I106" s="12">
        <v>27275</v>
      </c>
      <c r="J106" s="6">
        <f t="shared" si="1"/>
        <v>3.5840336134453783</v>
      </c>
      <c r="K106" t="s">
        <v>14</v>
      </c>
      <c r="L106" t="s">
        <v>20</v>
      </c>
      <c r="M106"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3AB15-36FC-445D-989E-49806F295F1A}">
  <sheetPr>
    <tabColor rgb="FF7030A0"/>
  </sheetPr>
  <dimension ref="B1:H47"/>
  <sheetViews>
    <sheetView topLeftCell="A22" workbookViewId="0">
      <selection activeCell="B45" sqref="B45"/>
    </sheetView>
  </sheetViews>
  <sheetFormatPr baseColWidth="10" defaultRowHeight="15" x14ac:dyDescent="0.25"/>
  <cols>
    <col min="2" max="2" width="25" bestFit="1" customWidth="1"/>
    <col min="3" max="3" width="15.5703125" bestFit="1" customWidth="1"/>
    <col min="4" max="4" width="13.85546875" bestFit="1" customWidth="1"/>
    <col min="5" max="5" width="15.7109375" bestFit="1" customWidth="1"/>
    <col min="6" max="6" width="14.7109375" bestFit="1" customWidth="1"/>
    <col min="7" max="7" width="12.28515625" customWidth="1"/>
    <col min="8" max="10" width="5" bestFit="1" customWidth="1"/>
    <col min="11" max="107" width="6" bestFit="1" customWidth="1"/>
    <col min="108" max="108" width="12.5703125" bestFit="1" customWidth="1"/>
  </cols>
  <sheetData>
    <row r="1" spans="2:5" ht="15.75" thickBot="1" x14ac:dyDescent="0.3"/>
    <row r="2" spans="2:5" ht="19.5" thickBot="1" x14ac:dyDescent="0.35">
      <c r="B2" s="43" t="s">
        <v>74</v>
      </c>
      <c r="C2" s="44"/>
    </row>
    <row r="3" spans="2:5" ht="30" x14ac:dyDescent="0.25">
      <c r="B3" s="23" t="s">
        <v>1</v>
      </c>
      <c r="C3" s="23" t="s">
        <v>73</v>
      </c>
    </row>
    <row r="4" spans="2:5" x14ac:dyDescent="0.25">
      <c r="B4" s="9" t="s">
        <v>11</v>
      </c>
      <c r="C4" s="10">
        <f>COUNTIF(DATA!B2:B100000,"Facebook")</f>
        <v>36</v>
      </c>
    </row>
    <row r="5" spans="2:5" x14ac:dyDescent="0.25">
      <c r="B5" s="9" t="s">
        <v>12</v>
      </c>
      <c r="C5" s="10">
        <f>COUNTIF(DATA!B3:B100001,"Twitter")</f>
        <v>28</v>
      </c>
    </row>
    <row r="6" spans="2:5" x14ac:dyDescent="0.25">
      <c r="B6" s="9" t="s">
        <v>13</v>
      </c>
      <c r="C6" s="10">
        <f>COUNTIF(DATA!B4:B100002,"Instagram")</f>
        <v>41</v>
      </c>
    </row>
    <row r="10" spans="2:5" ht="18.75" x14ac:dyDescent="0.3">
      <c r="B10" s="41" t="s">
        <v>78</v>
      </c>
      <c r="C10" s="42"/>
      <c r="D10" s="42"/>
      <c r="E10" s="42"/>
    </row>
    <row r="11" spans="2:5" ht="45" x14ac:dyDescent="0.25">
      <c r="B11" s="23" t="s">
        <v>1</v>
      </c>
      <c r="C11" s="23" t="s">
        <v>75</v>
      </c>
      <c r="D11" s="23" t="s">
        <v>76</v>
      </c>
      <c r="E11" s="23" t="s">
        <v>77</v>
      </c>
    </row>
    <row r="12" spans="2:5" x14ac:dyDescent="0.25">
      <c r="B12" s="9" t="s">
        <v>11</v>
      </c>
      <c r="C12" s="14">
        <f>SUMIF(DATA!B2:B1000,"Facebook",DATA!E2:E1000)</f>
        <v>184371</v>
      </c>
      <c r="D12" s="14">
        <f>SUMIF(DATA!B2:B1000,"Facebook",DATA!I2:I1000)</f>
        <v>497803</v>
      </c>
      <c r="E12" s="15">
        <f>D12-C12</f>
        <v>313432</v>
      </c>
    </row>
    <row r="13" spans="2:5" x14ac:dyDescent="0.25">
      <c r="B13" s="9" t="s">
        <v>12</v>
      </c>
      <c r="C13" s="14">
        <f>SUMIF(DATA!B3:B1001,"Twitter",DATA!E3:E1001)</f>
        <v>139315</v>
      </c>
      <c r="D13" s="14">
        <f>SUMIF(DATA!B3:B1001,"Twitter",DATA!I3:I1001)</f>
        <v>411222</v>
      </c>
      <c r="E13" s="15">
        <f>D13-C13</f>
        <v>271907</v>
      </c>
    </row>
    <row r="14" spans="2:5" x14ac:dyDescent="0.25">
      <c r="B14" s="9" t="s">
        <v>13</v>
      </c>
      <c r="C14" s="14">
        <f>SUMIF(DATA!B4:B1002,"Instagram",DATA!E4:E1002)</f>
        <v>237570</v>
      </c>
      <c r="D14" s="14">
        <f>SUMIF(DATA!B4:B1002,"Instagram",DATA!I4:I1002)</f>
        <v>561028</v>
      </c>
      <c r="E14" s="15">
        <f>D14-C14</f>
        <v>323458</v>
      </c>
    </row>
    <row r="18" spans="2:7" ht="18.75" x14ac:dyDescent="0.3">
      <c r="B18" s="41" t="s">
        <v>79</v>
      </c>
      <c r="C18" s="42"/>
      <c r="D18" s="42"/>
      <c r="E18" s="42"/>
      <c r="F18" s="42"/>
      <c r="G18" s="42"/>
    </row>
    <row r="19" spans="2:7" ht="45" x14ac:dyDescent="0.25">
      <c r="B19" s="24" t="s">
        <v>80</v>
      </c>
      <c r="C19" s="23" t="s">
        <v>81</v>
      </c>
      <c r="D19" s="23" t="s">
        <v>82</v>
      </c>
      <c r="E19" s="23" t="s">
        <v>76</v>
      </c>
      <c r="F19" s="23" t="s">
        <v>83</v>
      </c>
      <c r="G19" s="23" t="s">
        <v>91</v>
      </c>
    </row>
    <row r="20" spans="2:7" x14ac:dyDescent="0.25">
      <c r="B20" s="9" t="s">
        <v>14</v>
      </c>
      <c r="C20" s="16">
        <f>COUNTIF(DATA!K2:K1000,B20)</f>
        <v>25</v>
      </c>
      <c r="D20" s="17">
        <f ca="1">SUMIF(DATA!K2:K10000,REPORTING!B20,DATA!F2:F1000)</f>
        <v>1301419</v>
      </c>
      <c r="E20" s="14">
        <f>SUMIF(DATA!K2:K1000,REPORTING!B20,DATA!I2:I10000)</f>
        <v>398209</v>
      </c>
      <c r="F20" s="18">
        <f ca="1">AVERAGEIF(DATA!K2:K10000,REPORTING!B20,DATA!H2:H1000)</f>
        <v>0.11618000000000001</v>
      </c>
      <c r="G20" s="34">
        <f>AVERAGEIF(DATA!K2:K10000,REPORTING!B20,DATA!J2:J10000)</f>
        <v>1.900193410800594</v>
      </c>
    </row>
    <row r="21" spans="2:7" x14ac:dyDescent="0.25">
      <c r="B21" s="9" t="s">
        <v>15</v>
      </c>
      <c r="C21" s="16">
        <f>COUNTIF(DATA!K3:K1001,B21)</f>
        <v>23</v>
      </c>
      <c r="D21" s="17">
        <f ca="1">SUMIF(DATA!K3:K10001,REPORTING!B21,DATA!F3:F1001)</f>
        <v>1014367</v>
      </c>
      <c r="E21" s="14">
        <f>SUMIF(DATA!K3:K1001,REPORTING!B21,DATA!I3:I10001)</f>
        <v>274382</v>
      </c>
      <c r="F21" s="18">
        <f ca="1">AVERAGEIF(DATA!K3:K10001,REPORTING!B21,DATA!H3:H1001)</f>
        <v>0.13539130434782609</v>
      </c>
      <c r="G21" s="34">
        <f>AVERAGEIF(DATA!K3:K10001,REPORTING!B21,DATA!J3:J10001)</f>
        <v>1.4139260118100407</v>
      </c>
    </row>
    <row r="22" spans="2:7" x14ac:dyDescent="0.25">
      <c r="B22" s="9" t="s">
        <v>18</v>
      </c>
      <c r="C22" s="16">
        <f>COUNTIF(DATA!K4:K1002,B22)</f>
        <v>18</v>
      </c>
      <c r="D22" s="17">
        <f ca="1">SUMIF(DATA!K4:K10002,REPORTING!B22,DATA!F4:F1002)</f>
        <v>949678</v>
      </c>
      <c r="E22" s="14">
        <f>SUMIF(DATA!K4:K1002,REPORTING!B22,DATA!I4:I10002)</f>
        <v>270590</v>
      </c>
      <c r="F22" s="18">
        <f ca="1">AVERAGEIF(DATA!K4:K10002,REPORTING!B22,DATA!H4:H1002)</f>
        <v>6.5416666666666651E-2</v>
      </c>
      <c r="G22" s="34">
        <f>AVERAGEIF(DATA!K4:K10002,REPORTING!B22,DATA!J4:J10002)</f>
        <v>1.3913548840582306</v>
      </c>
    </row>
    <row r="23" spans="2:7" x14ac:dyDescent="0.25">
      <c r="B23" s="9" t="s">
        <v>17</v>
      </c>
      <c r="C23" s="16">
        <f>COUNTIF(DATA!K5:K1003,B23)</f>
        <v>22</v>
      </c>
      <c r="D23" s="17">
        <f ca="1">SUMIF(DATA!K5:K10003,REPORTING!B23,DATA!F5:F1003)</f>
        <v>1010551</v>
      </c>
      <c r="E23" s="14">
        <f>SUMIF(DATA!K5:K1003,REPORTING!B23,DATA!I5:I10003)</f>
        <v>274285</v>
      </c>
      <c r="F23" s="18">
        <f ca="1">AVERAGEIF(DATA!K5:K10003,REPORTING!B23,DATA!H5:H1003)</f>
        <v>8.0086363636363664E-2</v>
      </c>
      <c r="G23" s="34">
        <f>AVERAGEIF(DATA!K5:K10003,REPORTING!B23,DATA!J5:J10003)</f>
        <v>1.5530207499848629</v>
      </c>
    </row>
    <row r="24" spans="2:7" x14ac:dyDescent="0.25">
      <c r="B24" s="9" t="s">
        <v>16</v>
      </c>
      <c r="C24" s="16">
        <f>COUNTIF(DATA!K6:K1004,B24)</f>
        <v>17</v>
      </c>
      <c r="D24" s="17">
        <f ca="1">SUMIF(DATA!K6:K10004,REPORTING!B24,DATA!F6:F1004)</f>
        <v>1284616</v>
      </c>
      <c r="E24" s="14">
        <f>SUMIF(DATA!K6:K1004,REPORTING!B24,DATA!I6:I10004)</f>
        <v>252587</v>
      </c>
      <c r="F24" s="18">
        <f ca="1">AVERAGEIF(DATA!K6:K10004,REPORTING!B24,DATA!H6:H1004)</f>
        <v>3.3058823529411759E-2</v>
      </c>
      <c r="G24" s="34">
        <f>AVERAGEIF(DATA!K6:K10004,REPORTING!B24,DATA!J6:J10004)</f>
        <v>1.8011321992707139</v>
      </c>
    </row>
    <row r="28" spans="2:7" ht="18.75" x14ac:dyDescent="0.3">
      <c r="C28" s="41" t="s">
        <v>84</v>
      </c>
      <c r="D28" s="42"/>
      <c r="E28" s="42"/>
      <c r="F28" s="42"/>
    </row>
    <row r="29" spans="2:7" x14ac:dyDescent="0.25">
      <c r="B29" s="22" t="s">
        <v>87</v>
      </c>
      <c r="C29" s="24" t="s">
        <v>1</v>
      </c>
      <c r="D29" s="24" t="s">
        <v>85</v>
      </c>
      <c r="E29" s="24" t="s">
        <v>86</v>
      </c>
      <c r="F29" s="23" t="s">
        <v>69</v>
      </c>
    </row>
    <row r="30" spans="2:7" x14ac:dyDescent="0.25">
      <c r="B30" s="21">
        <v>45</v>
      </c>
      <c r="C30" s="9" t="str">
        <f>_xlfn.XLOOKUP(B30,DATA!A2:A1000,DATA!B2:B1000,"faux")</f>
        <v>Instagram</v>
      </c>
      <c r="D30" s="20">
        <f>_xlfn.XLOOKUP(B30,DATA!A2:A1000,DATA!C2:C1000)</f>
        <v>44524.574282407397</v>
      </c>
      <c r="E30" s="14">
        <f>_xlfn.XLOOKUP(B30,DATA!A2:A1000,DATA!E2:E1000)</f>
        <v>8856</v>
      </c>
      <c r="F30" s="34">
        <f>_xlfn.XLOOKUP(B30,DATA!A2:A1000,DATA!J2:J1000)</f>
        <v>0.66440831074977413</v>
      </c>
    </row>
    <row r="34" spans="2:8" ht="18.75" x14ac:dyDescent="0.3">
      <c r="B34" s="41" t="s">
        <v>88</v>
      </c>
      <c r="C34" s="42"/>
      <c r="D34" s="42"/>
      <c r="E34" s="42"/>
      <c r="F34" s="42"/>
    </row>
    <row r="35" spans="2:8" ht="30" x14ac:dyDescent="0.25">
      <c r="B35" s="26" t="s">
        <v>89</v>
      </c>
      <c r="C35" s="27" t="s">
        <v>90</v>
      </c>
      <c r="D35" s="26" t="s">
        <v>82</v>
      </c>
      <c r="E35" s="27" t="s">
        <v>76</v>
      </c>
      <c r="F35" s="25" t="s">
        <v>91</v>
      </c>
    </row>
    <row r="36" spans="2:8" x14ac:dyDescent="0.25">
      <c r="B36" s="9" t="s">
        <v>21</v>
      </c>
      <c r="C36" s="28">
        <f>COUNTIF(DATA!M2:M1000,REPORTING!B36)</f>
        <v>23</v>
      </c>
      <c r="D36" s="17">
        <f ca="1">SUMIF(DATA!M2:M10000,REPORTING!B36,DATA!F2:F1000)</f>
        <v>1216167</v>
      </c>
      <c r="E36" s="14">
        <f>SUMIF(DATA!M2:M10000,REPORTING!B36,DATA!I2:I10000)</f>
        <v>294810</v>
      </c>
      <c r="F36" s="34">
        <f>AVERAGEIF(DATA!M2:M1000,REPORTING!B36,DATA!J2:J1000)</f>
        <v>1.701840329960548</v>
      </c>
    </row>
    <row r="37" spans="2:8" x14ac:dyDescent="0.25">
      <c r="B37" s="9" t="s">
        <v>22</v>
      </c>
      <c r="C37" s="28">
        <f>COUNTIF(DATA!M3:M1001,REPORTING!B37)</f>
        <v>23</v>
      </c>
      <c r="D37" s="17">
        <f ca="1">SUMIF(DATA!M3:M10001,REPORTING!B37,DATA!F3:F1001)</f>
        <v>1312367</v>
      </c>
      <c r="E37" s="14">
        <f>SUMIF(DATA!M3:M10001,REPORTING!B37,DATA!I3:I10001)</f>
        <v>321875</v>
      </c>
      <c r="F37" s="34">
        <f>AVERAGEIF(DATA!M3:M1001,REPORTING!B37,DATA!J3:J1001)</f>
        <v>1.9620465207154063</v>
      </c>
    </row>
    <row r="38" spans="2:8" x14ac:dyDescent="0.25">
      <c r="B38" s="9" t="s">
        <v>23</v>
      </c>
      <c r="C38" s="28">
        <f>COUNTIF(DATA!M4:M1002,REPORTING!B38)</f>
        <v>22</v>
      </c>
      <c r="D38" s="17">
        <f ca="1">SUMIF(DATA!M4:M10002,REPORTING!B38,DATA!F4:F1002)</f>
        <v>1024621</v>
      </c>
      <c r="E38" s="14">
        <f>SUMIF(DATA!M4:M10002,REPORTING!B38,DATA!I4:I10002)</f>
        <v>405530</v>
      </c>
      <c r="F38" s="34">
        <f>AVERAGEIF(DATA!M4:M1002,REPORTING!B38,DATA!J4:J1002)</f>
        <v>1.7252060724249725</v>
      </c>
    </row>
    <row r="39" spans="2:8" x14ac:dyDescent="0.25">
      <c r="B39" s="9" t="s">
        <v>24</v>
      </c>
      <c r="C39" s="28">
        <f>COUNTIF(DATA!M5:M1003,REPORTING!B39)</f>
        <v>18</v>
      </c>
      <c r="D39" s="17">
        <f ca="1">SUMIF(DATA!M5:M10003,REPORTING!B39,DATA!F5:F1003)</f>
        <v>992029</v>
      </c>
      <c r="E39" s="14">
        <f>SUMIF(DATA!M5:M10003,REPORTING!B39,DATA!I5:I10003)</f>
        <v>188467</v>
      </c>
      <c r="F39" s="34">
        <f>AVERAGEIF(DATA!M5:M1003,REPORTING!B39,DATA!J5:J1003)</f>
        <v>1.2948473801546858</v>
      </c>
    </row>
    <row r="40" spans="2:8" x14ac:dyDescent="0.25">
      <c r="B40" s="9" t="s">
        <v>25</v>
      </c>
      <c r="C40" s="28">
        <f>COUNTIF(DATA!M6:M1004,REPORTING!B40)</f>
        <v>19</v>
      </c>
      <c r="D40" s="17">
        <f ca="1">SUMIF(DATA!M6:M10004,REPORTING!B40,DATA!F6:F1004)</f>
        <v>1015447</v>
      </c>
      <c r="E40" s="14">
        <f>SUMIF(DATA!M6:M10004,REPORTING!B40,DATA!I6:I10004)</f>
        <v>259371</v>
      </c>
      <c r="F40" s="34">
        <f>AVERAGEIF(DATA!M6:M1004,REPORTING!B40,DATA!J6:J1004)</f>
        <v>1.2802127021201251</v>
      </c>
    </row>
    <row r="43" spans="2:8" ht="19.5" thickBot="1" x14ac:dyDescent="0.35">
      <c r="B43" s="41" t="s">
        <v>99</v>
      </c>
      <c r="C43" s="42"/>
      <c r="D43" s="42"/>
      <c r="E43" s="42"/>
      <c r="F43" s="42"/>
    </row>
    <row r="44" spans="2:8" ht="36" customHeight="1" thickBot="1" x14ac:dyDescent="0.3">
      <c r="B44" s="32" t="s">
        <v>98</v>
      </c>
      <c r="C44" s="40" t="s">
        <v>90</v>
      </c>
      <c r="D44" s="30" t="s">
        <v>95</v>
      </c>
      <c r="E44" s="30" t="s">
        <v>96</v>
      </c>
      <c r="F44" s="31" t="s">
        <v>97</v>
      </c>
      <c r="G44" s="11"/>
      <c r="H44" s="11"/>
    </row>
    <row r="45" spans="2:8" x14ac:dyDescent="0.25">
      <c r="B45" s="33" t="s">
        <v>20</v>
      </c>
      <c r="C45" s="52">
        <v>57</v>
      </c>
      <c r="D45" s="53">
        <v>3426042</v>
      </c>
      <c r="E45" s="13">
        <v>827006</v>
      </c>
      <c r="F45" s="35">
        <v>1.741683547674874</v>
      </c>
    </row>
    <row r="46" spans="2:8" x14ac:dyDescent="0.25">
      <c r="B46" s="33" t="s">
        <v>19</v>
      </c>
      <c r="C46" s="52">
        <v>48</v>
      </c>
      <c r="D46" s="53">
        <v>2134589</v>
      </c>
      <c r="E46" s="13">
        <v>643047</v>
      </c>
      <c r="F46" s="35">
        <v>1.4704013150936512</v>
      </c>
    </row>
    <row r="47" spans="2:8" x14ac:dyDescent="0.25">
      <c r="B47" s="33" t="s">
        <v>72</v>
      </c>
      <c r="C47" s="52">
        <v>105</v>
      </c>
      <c r="D47" s="53">
        <v>5560631</v>
      </c>
      <c r="E47" s="13">
        <v>1470053</v>
      </c>
      <c r="F47" s="35">
        <v>1.6176688127806007</v>
      </c>
    </row>
  </sheetData>
  <mergeCells count="6">
    <mergeCell ref="C28:F28"/>
    <mergeCell ref="B34:F34"/>
    <mergeCell ref="B43:F43"/>
    <mergeCell ref="B2:C2"/>
    <mergeCell ref="B10:E10"/>
    <mergeCell ref="B18:G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14042-D4EF-463F-B824-649086871D74}">
  <sheetPr>
    <tabColor theme="1"/>
  </sheetPr>
  <dimension ref="B3:H84"/>
  <sheetViews>
    <sheetView workbookViewId="0">
      <selection activeCell="D4" sqref="D4"/>
    </sheetView>
  </sheetViews>
  <sheetFormatPr baseColWidth="10" defaultRowHeight="15" x14ac:dyDescent="0.25"/>
  <cols>
    <col min="2" max="2" width="19.42578125" bestFit="1" customWidth="1"/>
    <col min="3" max="5" width="29.5703125" bestFit="1" customWidth="1"/>
    <col min="6" max="6" width="5.42578125" bestFit="1" customWidth="1"/>
    <col min="7" max="7" width="21" bestFit="1" customWidth="1"/>
    <col min="8" max="8" width="19.42578125" bestFit="1" customWidth="1"/>
    <col min="9" max="47" width="6.85546875" bestFit="1" customWidth="1"/>
    <col min="48" max="107" width="7.85546875" bestFit="1" customWidth="1"/>
    <col min="108" max="108" width="12.5703125" bestFit="1" customWidth="1"/>
  </cols>
  <sheetData>
    <row r="3" spans="2:4" x14ac:dyDescent="0.25">
      <c r="B3" t="s">
        <v>92</v>
      </c>
      <c r="D3" t="s">
        <v>93</v>
      </c>
    </row>
    <row r="4" spans="2:4" x14ac:dyDescent="0.25">
      <c r="B4" s="51">
        <v>105</v>
      </c>
      <c r="D4" s="12">
        <v>1470053</v>
      </c>
    </row>
    <row r="7" spans="2:4" x14ac:dyDescent="0.25">
      <c r="B7" t="s">
        <v>100</v>
      </c>
    </row>
    <row r="8" spans="2:4" x14ac:dyDescent="0.25">
      <c r="B8" s="12">
        <v>561256</v>
      </c>
    </row>
    <row r="11" spans="2:4" x14ac:dyDescent="0.25">
      <c r="B11" t="s">
        <v>101</v>
      </c>
    </row>
    <row r="12" spans="2:4" x14ac:dyDescent="0.25">
      <c r="B12" s="6">
        <v>9.0665714285714322E-2</v>
      </c>
    </row>
    <row r="15" spans="2:4" x14ac:dyDescent="0.25">
      <c r="B15" t="s">
        <v>94</v>
      </c>
    </row>
    <row r="16" spans="2:4" x14ac:dyDescent="0.25">
      <c r="B16" s="6">
        <v>1.6176688127806009</v>
      </c>
    </row>
    <row r="19" spans="2:8" x14ac:dyDescent="0.25">
      <c r="B19" s="7" t="s">
        <v>71</v>
      </c>
      <c r="C19" t="s">
        <v>93</v>
      </c>
      <c r="G19" s="7" t="s">
        <v>71</v>
      </c>
      <c r="H19" t="s">
        <v>94</v>
      </c>
    </row>
    <row r="20" spans="2:8" x14ac:dyDescent="0.25">
      <c r="B20" s="8" t="s">
        <v>11</v>
      </c>
      <c r="C20" s="12">
        <v>497803</v>
      </c>
      <c r="G20" s="8" t="s">
        <v>11</v>
      </c>
      <c r="H20" s="6">
        <v>1.610355799759722</v>
      </c>
    </row>
    <row r="21" spans="2:8" x14ac:dyDescent="0.25">
      <c r="B21" s="8" t="s">
        <v>13</v>
      </c>
      <c r="C21" s="12">
        <v>561028</v>
      </c>
      <c r="G21" s="8" t="s">
        <v>13</v>
      </c>
      <c r="H21" s="6">
        <v>1.4655933911004675</v>
      </c>
    </row>
    <row r="22" spans="2:8" x14ac:dyDescent="0.25">
      <c r="B22" s="8" t="s">
        <v>12</v>
      </c>
      <c r="C22" s="12">
        <v>411222</v>
      </c>
      <c r="G22" s="8" t="s">
        <v>12</v>
      </c>
      <c r="H22" s="6">
        <v>1.849753125553353</v>
      </c>
    </row>
    <row r="23" spans="2:8" x14ac:dyDescent="0.25">
      <c r="B23" s="8" t="s">
        <v>72</v>
      </c>
      <c r="C23" s="12">
        <v>1470053</v>
      </c>
      <c r="G23" s="8" t="s">
        <v>72</v>
      </c>
      <c r="H23" s="6">
        <v>1.6176688127806007</v>
      </c>
    </row>
    <row r="42" spans="2:3" ht="15.75" thickBot="1" x14ac:dyDescent="0.3"/>
    <row r="43" spans="2:3" ht="15.75" thickBot="1" x14ac:dyDescent="0.3">
      <c r="B43" s="32" t="s">
        <v>98</v>
      </c>
      <c r="C43" s="29" t="s">
        <v>96</v>
      </c>
    </row>
    <row r="44" spans="2:3" x14ac:dyDescent="0.25">
      <c r="B44" s="33" t="s">
        <v>20</v>
      </c>
      <c r="C44" s="36">
        <v>827006</v>
      </c>
    </row>
    <row r="45" spans="2:3" x14ac:dyDescent="0.25">
      <c r="B45" s="33" t="s">
        <v>19</v>
      </c>
      <c r="C45" s="36">
        <v>643047</v>
      </c>
    </row>
    <row r="46" spans="2:3" x14ac:dyDescent="0.25">
      <c r="B46" s="33" t="s">
        <v>72</v>
      </c>
      <c r="C46" s="36">
        <v>1470053</v>
      </c>
    </row>
    <row r="48" spans="2:3" ht="15.75" thickBot="1" x14ac:dyDescent="0.3"/>
    <row r="49" spans="2:3" ht="15.75" thickBot="1" x14ac:dyDescent="0.3">
      <c r="B49" s="7" t="s">
        <v>98</v>
      </c>
      <c r="C49" s="29" t="s">
        <v>96</v>
      </c>
    </row>
    <row r="50" spans="2:3" x14ac:dyDescent="0.25">
      <c r="B50" s="8" t="s">
        <v>14</v>
      </c>
      <c r="C50" s="36">
        <v>398209</v>
      </c>
    </row>
    <row r="51" spans="2:3" x14ac:dyDescent="0.25">
      <c r="B51" s="8" t="s">
        <v>15</v>
      </c>
      <c r="C51" s="36">
        <v>274382</v>
      </c>
    </row>
    <row r="52" spans="2:3" x14ac:dyDescent="0.25">
      <c r="B52" s="8" t="s">
        <v>18</v>
      </c>
      <c r="C52" s="36">
        <v>270590</v>
      </c>
    </row>
    <row r="53" spans="2:3" x14ac:dyDescent="0.25">
      <c r="B53" s="8" t="s">
        <v>17</v>
      </c>
      <c r="C53" s="36">
        <v>274285</v>
      </c>
    </row>
    <row r="54" spans="2:3" x14ac:dyDescent="0.25">
      <c r="B54" s="8" t="s">
        <v>16</v>
      </c>
      <c r="C54" s="36">
        <v>252587</v>
      </c>
    </row>
    <row r="55" spans="2:3" x14ac:dyDescent="0.25">
      <c r="B55" s="33" t="s">
        <v>72</v>
      </c>
      <c r="C55" s="36">
        <v>1470053</v>
      </c>
    </row>
    <row r="57" spans="2:3" ht="15.75" thickBot="1" x14ac:dyDescent="0.3"/>
    <row r="58" spans="2:3" ht="30.75" thickBot="1" x14ac:dyDescent="0.3">
      <c r="B58" s="7" t="s">
        <v>98</v>
      </c>
      <c r="C58" s="29" t="s">
        <v>101</v>
      </c>
    </row>
    <row r="59" spans="2:3" x14ac:dyDescent="0.25">
      <c r="B59" s="8" t="s">
        <v>14</v>
      </c>
      <c r="C59" s="37">
        <v>0.11618000000000001</v>
      </c>
    </row>
    <row r="60" spans="2:3" x14ac:dyDescent="0.25">
      <c r="B60" s="8" t="s">
        <v>15</v>
      </c>
      <c r="C60" s="37">
        <v>0.13539130434782609</v>
      </c>
    </row>
    <row r="61" spans="2:3" x14ac:dyDescent="0.25">
      <c r="B61" s="8" t="s">
        <v>18</v>
      </c>
      <c r="C61" s="37">
        <v>6.5416666666666651E-2</v>
      </c>
    </row>
    <row r="62" spans="2:3" x14ac:dyDescent="0.25">
      <c r="B62" s="8" t="s">
        <v>17</v>
      </c>
      <c r="C62" s="37">
        <v>8.0086363636363664E-2</v>
      </c>
    </row>
    <row r="63" spans="2:3" x14ac:dyDescent="0.25">
      <c r="B63" s="8" t="s">
        <v>16</v>
      </c>
      <c r="C63" s="37">
        <v>3.3058823529411759E-2</v>
      </c>
    </row>
    <row r="64" spans="2:3" x14ac:dyDescent="0.25">
      <c r="B64" s="33" t="s">
        <v>72</v>
      </c>
      <c r="C64" s="37">
        <v>9.0665714285714266E-2</v>
      </c>
    </row>
    <row r="66" spans="2:4" ht="15.75" thickBot="1" x14ac:dyDescent="0.3"/>
    <row r="67" spans="2:4" ht="30.75" thickBot="1" x14ac:dyDescent="0.3">
      <c r="B67" s="32" t="s">
        <v>98</v>
      </c>
      <c r="C67" s="29" t="s">
        <v>101</v>
      </c>
    </row>
    <row r="68" spans="2:4" x14ac:dyDescent="0.25">
      <c r="B68" s="8" t="s">
        <v>20</v>
      </c>
      <c r="C68" s="37">
        <v>6.1356140350877199E-2</v>
      </c>
    </row>
    <row r="69" spans="2:4" x14ac:dyDescent="0.25">
      <c r="B69" s="8" t="s">
        <v>19</v>
      </c>
      <c r="C69" s="37">
        <v>0.12547083333333331</v>
      </c>
    </row>
    <row r="70" spans="2:4" x14ac:dyDescent="0.25">
      <c r="B70" s="33" t="s">
        <v>72</v>
      </c>
      <c r="C70" s="37">
        <v>9.0665714285714322E-2</v>
      </c>
    </row>
    <row r="77" spans="2:4" ht="15.75" thickBot="1" x14ac:dyDescent="0.3"/>
    <row r="78" spans="2:4" ht="15.75" thickBot="1" x14ac:dyDescent="0.3">
      <c r="B78" s="7" t="s">
        <v>98</v>
      </c>
      <c r="C78" t="s">
        <v>93</v>
      </c>
      <c r="D78" t="s">
        <v>94</v>
      </c>
    </row>
    <row r="79" spans="2:4" x14ac:dyDescent="0.25">
      <c r="B79" s="8" t="s">
        <v>21</v>
      </c>
      <c r="C79" s="38">
        <v>294810</v>
      </c>
      <c r="D79" s="39">
        <v>1.701840329960548</v>
      </c>
    </row>
    <row r="80" spans="2:4" x14ac:dyDescent="0.25">
      <c r="B80" s="8" t="s">
        <v>24</v>
      </c>
      <c r="C80" s="38">
        <v>188467</v>
      </c>
      <c r="D80" s="39">
        <v>1.2948473801546858</v>
      </c>
    </row>
    <row r="81" spans="2:4" x14ac:dyDescent="0.25">
      <c r="B81" s="8" t="s">
        <v>23</v>
      </c>
      <c r="C81" s="38">
        <v>405530</v>
      </c>
      <c r="D81" s="39">
        <v>1.7252060724249725</v>
      </c>
    </row>
    <row r="82" spans="2:4" x14ac:dyDescent="0.25">
      <c r="B82" s="8" t="s">
        <v>25</v>
      </c>
      <c r="C82" s="38">
        <v>259371</v>
      </c>
      <c r="D82" s="39">
        <v>1.2802127021201251</v>
      </c>
    </row>
    <row r="83" spans="2:4" x14ac:dyDescent="0.25">
      <c r="B83" s="8" t="s">
        <v>22</v>
      </c>
      <c r="C83" s="38">
        <v>321875</v>
      </c>
      <c r="D83" s="39">
        <v>1.9620465207154063</v>
      </c>
    </row>
    <row r="84" spans="2:4" x14ac:dyDescent="0.25">
      <c r="B84" s="33" t="s">
        <v>72</v>
      </c>
      <c r="C84" s="38">
        <v>1470053</v>
      </c>
      <c r="D84" s="39">
        <v>1.6176688127806003</v>
      </c>
    </row>
  </sheetData>
  <pageMargins left="0.7" right="0.7" top="0.75" bottom="0.75" header="0.3" footer="0.3"/>
  <drawing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AC02B-1E2B-4723-A747-0C12A6270866}">
  <sheetPr>
    <tabColor rgb="FF00B0F0"/>
  </sheetPr>
  <dimension ref="A1"/>
  <sheetViews>
    <sheetView showGridLines="0" tabSelected="1" zoomScale="90" zoomScaleNormal="90" workbookViewId="0">
      <selection activeCell="X25" sqref="X25"/>
    </sheetView>
  </sheetViews>
  <sheetFormatPr baseColWidth="10" defaultRowHeight="15" x14ac:dyDescent="0.25"/>
  <cols>
    <col min="20" max="20" width="11.71093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02A30-9D2E-4B64-80A4-4637B31C4C57}">
  <sheetPr>
    <tabColor theme="5"/>
  </sheetPr>
  <dimension ref="A1"/>
  <sheetViews>
    <sheetView showGridLines="0" topLeftCell="A7" workbookViewId="0">
      <selection activeCell="L44" sqref="L44"/>
    </sheetView>
  </sheetViews>
  <sheetFormatPr baseColWidth="10"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98B97-EB31-4FE2-BF9C-8750970210A5}">
  <sheetPr>
    <tabColor rgb="FFFFFF00"/>
  </sheetPr>
  <dimension ref="C2:D52"/>
  <sheetViews>
    <sheetView showGridLines="0" workbookViewId="0">
      <selection activeCell="C51" sqref="C51"/>
    </sheetView>
  </sheetViews>
  <sheetFormatPr baseColWidth="10" defaultRowHeight="15" x14ac:dyDescent="0.25"/>
  <cols>
    <col min="1" max="1" width="5.28515625" customWidth="1"/>
    <col min="2" max="2" width="3" customWidth="1"/>
    <col min="4" max="4" width="111.42578125" bestFit="1" customWidth="1"/>
  </cols>
  <sheetData>
    <row r="2" spans="3:4" x14ac:dyDescent="0.25">
      <c r="D2" s="3" t="s">
        <v>35</v>
      </c>
    </row>
    <row r="3" spans="3:4" x14ac:dyDescent="0.25">
      <c r="C3" s="2" t="b">
        <v>0</v>
      </c>
      <c r="D3" t="s">
        <v>27</v>
      </c>
    </row>
    <row r="4" spans="3:4" x14ac:dyDescent="0.25">
      <c r="C4" s="2" t="b">
        <v>0</v>
      </c>
      <c r="D4" t="s">
        <v>28</v>
      </c>
    </row>
    <row r="5" spans="3:4" x14ac:dyDescent="0.25">
      <c r="C5" s="2" t="b">
        <v>1</v>
      </c>
      <c r="D5" t="s">
        <v>29</v>
      </c>
    </row>
    <row r="6" spans="3:4" x14ac:dyDescent="0.25">
      <c r="C6" s="2" t="b">
        <v>0</v>
      </c>
      <c r="D6" t="s">
        <v>30</v>
      </c>
    </row>
    <row r="8" spans="3:4" x14ac:dyDescent="0.25">
      <c r="D8" s="3" t="s">
        <v>36</v>
      </c>
    </row>
    <row r="9" spans="3:4" x14ac:dyDescent="0.25">
      <c r="C9" s="2" t="b">
        <v>0</v>
      </c>
      <c r="D9" t="s">
        <v>31</v>
      </c>
    </row>
    <row r="10" spans="3:4" x14ac:dyDescent="0.25">
      <c r="C10" s="2" t="b">
        <v>1</v>
      </c>
      <c r="D10" t="s">
        <v>32</v>
      </c>
    </row>
    <row r="11" spans="3:4" x14ac:dyDescent="0.25">
      <c r="C11" s="2" t="b">
        <v>0</v>
      </c>
      <c r="D11" t="s">
        <v>33</v>
      </c>
    </row>
    <row r="12" spans="3:4" x14ac:dyDescent="0.25">
      <c r="C12" s="2" t="b">
        <v>0</v>
      </c>
      <c r="D12" t="s">
        <v>34</v>
      </c>
    </row>
    <row r="14" spans="3:4" x14ac:dyDescent="0.25">
      <c r="D14" s="3" t="s">
        <v>40</v>
      </c>
    </row>
    <row r="15" spans="3:4" x14ac:dyDescent="0.25">
      <c r="C15" s="2" t="b">
        <v>0</v>
      </c>
      <c r="D15" s="4" t="s">
        <v>37</v>
      </c>
    </row>
    <row r="16" spans="3:4" x14ac:dyDescent="0.25">
      <c r="C16" s="2" t="b">
        <v>1</v>
      </c>
      <c r="D16" s="4" t="s">
        <v>38</v>
      </c>
    </row>
    <row r="17" spans="3:4" x14ac:dyDescent="0.25">
      <c r="C17" s="2" t="b">
        <v>0</v>
      </c>
      <c r="D17" s="4" t="s">
        <v>39</v>
      </c>
    </row>
    <row r="19" spans="3:4" x14ac:dyDescent="0.25">
      <c r="D19" s="3" t="s">
        <v>44</v>
      </c>
    </row>
    <row r="20" spans="3:4" x14ac:dyDescent="0.25">
      <c r="C20" s="2" t="b">
        <v>0</v>
      </c>
      <c r="D20" s="4" t="s">
        <v>41</v>
      </c>
    </row>
    <row r="21" spans="3:4" x14ac:dyDescent="0.25">
      <c r="C21" s="2" t="b">
        <v>1</v>
      </c>
      <c r="D21" s="4" t="s">
        <v>42</v>
      </c>
    </row>
    <row r="22" spans="3:4" x14ac:dyDescent="0.25">
      <c r="C22" s="2" t="b">
        <v>0</v>
      </c>
      <c r="D22" s="4" t="s">
        <v>43</v>
      </c>
    </row>
    <row r="24" spans="3:4" x14ac:dyDescent="0.25">
      <c r="D24" s="3" t="s">
        <v>48</v>
      </c>
    </row>
    <row r="25" spans="3:4" x14ac:dyDescent="0.25">
      <c r="C25" s="2" t="b">
        <v>1</v>
      </c>
      <c r="D25" s="4" t="s">
        <v>45</v>
      </c>
    </row>
    <row r="26" spans="3:4" x14ac:dyDescent="0.25">
      <c r="C26" s="2" t="b">
        <v>0</v>
      </c>
      <c r="D26" s="4" t="s">
        <v>46</v>
      </c>
    </row>
    <row r="27" spans="3:4" x14ac:dyDescent="0.25">
      <c r="C27" s="2" t="b">
        <v>0</v>
      </c>
      <c r="D27" s="4" t="s">
        <v>47</v>
      </c>
    </row>
    <row r="29" spans="3:4" x14ac:dyDescent="0.25">
      <c r="D29" s="3" t="s">
        <v>52</v>
      </c>
    </row>
    <row r="30" spans="3:4" x14ac:dyDescent="0.25">
      <c r="C30" s="2" t="b">
        <v>1</v>
      </c>
      <c r="D30" s="4" t="s">
        <v>49</v>
      </c>
    </row>
    <row r="31" spans="3:4" x14ac:dyDescent="0.25">
      <c r="C31" s="2" t="b">
        <v>0</v>
      </c>
      <c r="D31" s="4" t="s">
        <v>50</v>
      </c>
    </row>
    <row r="32" spans="3:4" x14ac:dyDescent="0.25">
      <c r="C32" s="2" t="b">
        <v>0</v>
      </c>
      <c r="D32" s="4" t="s">
        <v>51</v>
      </c>
    </row>
    <row r="34" spans="3:4" x14ac:dyDescent="0.25">
      <c r="D34" s="3" t="s">
        <v>56</v>
      </c>
    </row>
    <row r="35" spans="3:4" x14ac:dyDescent="0.25">
      <c r="C35" s="2" t="b">
        <v>0</v>
      </c>
      <c r="D35" s="4" t="s">
        <v>53</v>
      </c>
    </row>
    <row r="36" spans="3:4" x14ac:dyDescent="0.25">
      <c r="C36" s="2" t="b">
        <v>1</v>
      </c>
      <c r="D36" s="4" t="s">
        <v>54</v>
      </c>
    </row>
    <row r="37" spans="3:4" x14ac:dyDescent="0.25">
      <c r="C37" s="2" t="b">
        <v>0</v>
      </c>
      <c r="D37" s="4" t="s">
        <v>55</v>
      </c>
    </row>
    <row r="39" spans="3:4" x14ac:dyDescent="0.25">
      <c r="D39" s="3" t="s">
        <v>60</v>
      </c>
    </row>
    <row r="40" spans="3:4" x14ac:dyDescent="0.25">
      <c r="C40" s="2" t="b">
        <v>0</v>
      </c>
      <c r="D40" s="4" t="s">
        <v>57</v>
      </c>
    </row>
    <row r="41" spans="3:4" x14ac:dyDescent="0.25">
      <c r="C41" s="2" t="b">
        <v>1</v>
      </c>
      <c r="D41" s="4" t="s">
        <v>58</v>
      </c>
    </row>
    <row r="42" spans="3:4" x14ac:dyDescent="0.25">
      <c r="C42" s="2" t="b">
        <v>0</v>
      </c>
      <c r="D42" s="4" t="s">
        <v>59</v>
      </c>
    </row>
    <row r="44" spans="3:4" x14ac:dyDescent="0.25">
      <c r="D44" s="3" t="s">
        <v>64</v>
      </c>
    </row>
    <row r="45" spans="3:4" x14ac:dyDescent="0.25">
      <c r="C45" s="2" t="b">
        <v>0</v>
      </c>
      <c r="D45" s="4" t="s">
        <v>61</v>
      </c>
    </row>
    <row r="46" spans="3:4" x14ac:dyDescent="0.25">
      <c r="C46" s="2" t="b">
        <v>1</v>
      </c>
      <c r="D46" s="4" t="s">
        <v>62</v>
      </c>
    </row>
    <row r="47" spans="3:4" x14ac:dyDescent="0.25">
      <c r="C47" s="2" t="b">
        <v>0</v>
      </c>
      <c r="D47" s="4" t="s">
        <v>63</v>
      </c>
    </row>
    <row r="49" spans="3:4" x14ac:dyDescent="0.25">
      <c r="D49" s="3" t="s">
        <v>68</v>
      </c>
    </row>
    <row r="50" spans="3:4" x14ac:dyDescent="0.25">
      <c r="C50" s="2" t="b">
        <v>0</v>
      </c>
      <c r="D50" s="4" t="s">
        <v>65</v>
      </c>
    </row>
    <row r="51" spans="3:4" x14ac:dyDescent="0.25">
      <c r="C51" s="2" t="b">
        <v>1</v>
      </c>
      <c r="D51" s="4" t="s">
        <v>66</v>
      </c>
    </row>
    <row r="52" spans="3:4" x14ac:dyDescent="0.25">
      <c r="C52" s="2" t="b">
        <v>0</v>
      </c>
      <c r="D52" s="4"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DATA</vt:lpstr>
      <vt:lpstr>REPORTING</vt:lpstr>
      <vt:lpstr>TCD</vt:lpstr>
      <vt:lpstr>DASHBOARD</vt:lpstr>
      <vt:lpstr>CONCLUSIONS</vt:lpstr>
      <vt:lpstr>QCM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Samy Wahbi</dc:creator>
  <cp:lastModifiedBy>Vincent Dotigny</cp:lastModifiedBy>
  <dcterms:created xsi:type="dcterms:W3CDTF">2025-02-13T19:04:34Z</dcterms:created>
  <dcterms:modified xsi:type="dcterms:W3CDTF">2025-04-21T17:33:24Z</dcterms:modified>
</cp:coreProperties>
</file>